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c13f6e72d043c6" /></Relationships>
</file>

<file path=xl/workbook.xml><?xml version="1.0" encoding="utf-8"?>
<x:workbook xmlns:x="http://schemas.openxmlformats.org/spreadsheetml/2006/main">
  <x:sheets>
    <x:sheet xmlns:r="http://schemas.openxmlformats.org/officeDocument/2006/relationships" name="化合物汇总" sheetId="1" r:id="Rcee90a49a1c34af0"/>
    <x:sheet xmlns:r="http://schemas.openxmlformats.org/officeDocument/2006/relationships" name="运行概览" sheetId="2" r:id="R1bdccba0d95447b6"/>
    <x:sheet xmlns:r="http://schemas.openxmlformats.org/officeDocument/2006/relationships" name="100篇文献清单" sheetId="3" r:id="Racfd8ea724fb4c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9">
    <x:font>
      <x:sz val="11"/>
      <x:name val="Carlito"/>
    </x:font>
    <x:font>
      <x:sz val="10"/>
      <x:color rgb="FF1F2937"/>
      <x:name val="Microsoft YaHei"/>
    </x:font>
    <x:font>
      <x:b/>
      <x:sz val="10"/>
      <x:color rgb="FFFFFFFF"/>
      <x:name val="Microsoft YaHei"/>
    </x:font>
    <x:font>
      <x:b/>
      <x:sz val="11"/>
      <x:color rgb="FFFFFFFF"/>
      <x:name val="Carlito"/>
    </x:font>
    <x:font>
      <x:b/>
      <x:sz val="18"/>
      <x:color rgb="FFFFFFFF"/>
      <x:name val="Carlito"/>
    </x:font>
    <x:font>
      <x:b/>
      <x:sz val="11"/>
      <x:color rgb="FF115E59"/>
      <x:name val="Carlito"/>
    </x:font>
    <x:font>
      <x:b/>
      <x:sz val="11"/>
      <x:name val="Carlito"/>
    </x:font>
    <x:font>
      <x:b/>
      <x:sz val="14"/>
      <x:color rgb="FF0F766E"/>
      <x:name val="Carlito"/>
    </x:font>
    <x:font>
      <x:i/>
      <x:sz val="11"/>
      <x:color rgb="FF9A3412"/>
      <x:name val="Carlito"/>
    </x:font>
  </x:fonts>
  <x:fills count="8">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CCFBF1"/>
      </x:patternFill>
    </x:fill>
    <x:fill>
      <x:patternFill patternType="solid">
        <x:fgColor rgb="FF134E4A"/>
      </x:patternFill>
    </x:fill>
    <x:fill>
      <x:patternFill patternType="solid">
        <x:fgColor rgb="FFF0FDFA"/>
      </x:patternFill>
    </x:fill>
    <x:fill>
      <x:patternFill patternType="solid">
        <x:fgColor rgb="FFFFF7ED"/>
      </x:patternFill>
    </x:fill>
  </x:fills>
  <x:borders count="8">
    <x:border/>
    <x:border>
      <x:left style="thin">
        <x:color rgb="FFD1D5DB"/>
      </x:left>
      <x:right style="thin">
        <x:color rgb="FFD1D5DB"/>
      </x:right>
      <x:top style="thin">
        <x:color rgb="FFD1D5DB"/>
      </x:top>
      <x:bottom style="thin">
        <x:color rgb="FFD1D5DB"/>
      </x:bottom>
    </x:border>
    <x:border>
      <x:left style="thin">
        <x:color rgb="FFB4C6E7"/>
      </x:left>
      <x:right style="thin">
        <x:color rgb="FFB4C6E7"/>
      </x:right>
      <x:top style="thin">
        <x:color rgb="FFB4C6E7"/>
      </x:top>
      <x:bottom style="thin">
        <x:color rgb="FFB4C6E7"/>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FDBA74"/>
      </x:left>
      <x:top style="thin">
        <x:color rgb="FFFDBA74"/>
      </x:top>
      <x:bottom style="thin">
        <x:color rgb="FFFDBA74"/>
      </x:bottom>
    </x:border>
    <x:border>
      <x:top style="thin">
        <x:color rgb="FFFDBA74"/>
      </x:top>
      <x:bottom style="thin">
        <x:color rgb="FFFDBA74"/>
      </x:bottom>
    </x:border>
    <x:border>
      <x:right style="thin">
        <x:color rgb="FFFDBA74"/>
      </x:right>
      <x:top style="thin">
        <x:color rgb="FFFDBA74"/>
      </x:top>
      <x:bottom style="thin">
        <x:color rgb="FFFDBA74"/>
      </x:bottom>
    </x:border>
  </x:borders>
  <x:cellStyleXfs count="1">
    <x:xf numFmtId="0" fontId="0" fillId="0" borderId="0"/>
  </x:cellStyleXfs>
  <x:cellXfs count="5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3" xfId="0" applyNumberFormat="1" applyFont="1" applyFill="1" applyBorder="1"/>
    <x:xf numFmtId="0" fontId="0" fillId="0" borderId="3"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4"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1" xfId="0" applyNumberFormat="1" applyFont="1" applyFill="1" applyBorder="1" applyAlignment="1">
      <x:alignment horizontal="center"/>
    </x:xf>
    <x:xf numFmtId="0" fontId="6" fillId="0" borderId="1" xfId="0" applyNumberFormat="1" applyFont="1" applyFill="1" applyBorder="1"/>
    <x:xf numFmtId="0" fontId="0" fillId="0"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7" fillId="0" borderId="1" xfId="0" applyNumberFormat="1" applyFont="1" applyFill="1" applyBorder="1"/>
    <x:xf numFmtId="200" fontId="7" fillId="0" borderId="1" xfId="0" applyNumberFormat="1" applyFont="1" applyFill="1" applyBorder="1"/>
    <x:xf numFmtId="0" fontId="7" fillId="0" borderId="1" xfId="0" applyNumberFormat="1" applyFont="1" applyFill="1" applyBorder="1" applyAlignment="1">
      <x:alignment horizontal="center"/>
    </x:xf>
    <x:xf numFmtId="200" fontId="7" fillId="0" borderId="1" xfId="0" applyNumberFormat="1" applyFont="1" applyFill="1" applyBorder="1" applyAlignment="1">
      <x:alignment horizontal="center"/>
    </x:xf>
    <x:xf numFmtId="0" fontId="0" fillId="7" borderId="0" xfId="0" applyNumberFormat="1" applyFont="1" applyFill="1" applyBorder="1"/>
    <x:xf numFmtId="0" fontId="8" fillId="7" borderId="0" xfId="0" applyNumberFormat="1" applyFont="1" applyFill="1" applyBorder="1"/>
    <x:xf numFmtId="0" fontId="8" fillId="7" borderId="5" xfId="0" applyNumberFormat="1" applyFont="1" applyFill="1" applyBorder="1"/>
    <x:xf numFmtId="0" fontId="8" fillId="7" borderId="6" xfId="0" applyNumberFormat="1" applyFont="1" applyFill="1" applyBorder="1"/>
    <x:xf numFmtId="0" fontId="8" fillId="7" borderId="7" xfId="0" applyNumberFormat="1" applyFont="1" applyFill="1" applyBorder="1"/>
    <x:xf numFmtId="0" fontId="8" fillId="7" borderId="5" xfId="0" applyNumberFormat="1" applyFont="1" applyFill="1" applyBorder="1" applyAlignment="1">
      <x:alignment wrapText="1"/>
    </x:xf>
    <x:xf numFmtId="0" fontId="8" fillId="7" borderId="6" xfId="0" applyNumberFormat="1" applyFont="1" applyFill="1" applyBorder="1" applyAlignment="1">
      <x:alignment wrapText="1"/>
    </x:xf>
    <x:xf numFmtId="0" fontId="8" fillId="7" borderId="7" xfId="0" applyNumberFormat="1" applyFont="1" applyFill="1" applyBorder="1" applyAlignment="1">
      <x:alignment wrapText="1"/>
    </x:xf>
  </x:cellXfs>
  <x:cellStyles count="1">
    <x:cellStyle name="Normal" xfId="0"/>
  </x:cellStyles>
  <x:dxfs count="4">
    <x:dxf>
      <x:font>
        <x:b/>
        <x:color rgb="FF166534"/>
      </x:font>
      <x:fill>
        <x:patternFill patternType="solid">
          <x:bgColor rgb="FFDCFCE7"/>
        </x:patternFill>
      </x:fill>
    </x:dxf>
    <x:dxf>
      <x:font>
        <x:color rgb="FF4B5563"/>
      </x:font>
      <x:fill>
        <x:patternFill patternType="solid">
          <x:bgColor rgb="FFF3F4F6"/>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648c97398147fb" /><Relationship Type="http://schemas.openxmlformats.org/officeDocument/2006/relationships/theme" Target="/xl/theme/theme1.xml" Id="Rb791e9ae3d124379" /><Relationship Type="http://schemas.openxmlformats.org/officeDocument/2006/relationships/sharedStrings" Target="/xl/sharedStrings.xml" Id="Rf02d1785e239467c" /><Relationship Type="http://schemas.openxmlformats.org/officeDocument/2006/relationships/worksheet" Target="/xl/worksheets/sheet1.xml" Id="Rcee90a49a1c34af0" /><Relationship Type="http://schemas.openxmlformats.org/officeDocument/2006/relationships/worksheet" Target="/xl/worksheets/sheet2.xml" Id="R1bdccba0d95447b6" /><Relationship Type="http://schemas.openxmlformats.org/officeDocument/2006/relationships/worksheet" Target="/xl/worksheets/sheet3.xml" Id="Racfd8ea724fb4cb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7b19f017f284b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100篇文献处理状态分布</a:t>
            </a:r>
          </a:p>
        </c:rich>
      </c:tx>
      <c:overlay val="0"/>
    </c:title>
    <c:autoTitleDeleted val="0"/>
    <c:plotArea>
      <c:layout/>
      <c:barChart>
        <c:barDir val="col"/>
        <c:varyColors val="0"/>
        <c:ser>
          <c:idx val="0"/>
          <c:order val="0"/>
          <c:tx>
            <c:v>文献数</c:v>
          </c:tx>
          <c:cat>
            <c:strRef>
              <c:f>'运行概览'!$A$11:$A$14</c:f>
              <c:strCache>
                <c:ptCount val="0"/>
              </c:strCache>
            </c:strRef>
          </c:cat>
          <c:val>
            <c:numRef>
              <c:f>'运行概览'!$B$11:$B$14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8</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b19f017f284b94"/>
        </a:graphicData>
      </a:graphic>
    </xdr:graphicFrame>
    <xdr:clientData/>
  </xdr:twoCellAnchor>
</xdr:wsDr>
</file>

<file path=xl/tables/table1.xml><?xml version="1.0" encoding="utf-8"?>
<x:table xmlns:x="http://schemas.openxmlformats.org/spreadsheetml/2006/main" id="1" name="AntimicrobialSummaryTable" displayName="AntimicrobialSummaryTable" ref="A1:P271" headerRowCount="1">
  <x:autoFilter ref="A1:P271"/>
  <x:tableColumns count="16">
    <x:tableColumn id="1" name="化合物原文名称"/>
    <x:tableColumn id="2" name="化合物标准名称"/>
    <x:tableColumn id="3" name="结构类型"/>
    <x:tableColumn id="4" name="来源类别"/>
    <x:tableColumn id="5" name="来源具体描述"/>
    <x:tableColumn id="6" name="测试卵菌拉丁名"/>
    <x:tableColumn id="7" name="实验方法"/>
    <x:tableColumn id="8" name="活性数据"/>
    <x:tableColumn id="9" name="阳性对照"/>
    <x:tableColumn id="10" name="作用靶标/机制"/>
    <x:tableColumn id="11" name="靶标验证方法"/>
    <x:tableColumn id="12" name="细胞毒性"/>
    <x:tableColumn id="13" name="抗性/交叉抗性"/>
    <x:tableColumn id="14" name="协同增效"/>
    <x:tableColumn id="15" name="参考文献"/>
    <x:tableColumn id="16" name="专利信息"/>
  </x:tableColumns>
  <x:tableStyleInfo name="TableStyleMedium2" showRowStripes="1"/>
</x:table>
</file>

<file path=xl/tables/table2.xml><?xml version="1.0" encoding="utf-8"?>
<x:table xmlns:x="http://schemas.openxmlformats.org/spreadsheetml/2006/main" id="2" name="AntimicrobialLiterature100" displayName="AntimicrobialLiterature100" ref="A1:O101" headerRowCount="1">
  <x:tableColumns count="15">
    <x:tableColumn id="1" name="序号"/>
    <x:tableColumn id="2" name="文献ID"/>
    <x:tableColumn id="3" name="文献标题"/>
    <x:tableColumn id="4" name="作者"/>
    <x:tableColumn id="5" name="年份"/>
    <x:tableColumn id="6" name="期刊"/>
    <x:tableColumn id="7" name="DOI"/>
    <x:tableColumn id="8" name="运行状态"/>
    <x:tableColumn id="9" name="状态说明"/>
    <x:tableColumn id="10" name="是否相关"/>
    <x:tableColumn id="11" name="chunks数"/>
    <x:tableColumn id="12" name="判定或错误说明"/>
    <x:tableColumn id="13" name="总结文件路径"/>
    <x:tableColumn id="14" name="开始时间（北京时间）"/>
    <x:tableColumn id="15" name="完成时间（北京时间）"/>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79fd051ac64797" /></Relationships>
</file>

<file path=xl/worksheets/_rels/sheet2.xml.rels>&#65279;<?xml version="1.0" encoding="utf-8"?><Relationships xmlns="http://schemas.openxmlformats.org/package/2006/relationships"><Relationship Type="http://schemas.openxmlformats.org/officeDocument/2006/relationships/drawing" Target="/xl/drawings/drawing1.xml" Id="R70ee310e675f41c1" /></Relationships>
</file>

<file path=xl/worksheets/_rels/sheet3.xml.rels>&#65279;<?xml version="1.0" encoding="utf-8"?><Relationships xmlns="http://schemas.openxmlformats.org/package/2006/relationships"><Relationship Type="http://schemas.openxmlformats.org/officeDocument/2006/relationships/table" Target="/xl/tables/table2.xml" Id="R75297d8d27ab440f"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20" hidden="0" customWidth="1"/>
    <x:col min="4" max="4" width="14" hidden="0" customWidth="1"/>
    <x:col min="5" max="5" width="36" hidden="0" customWidth="1"/>
    <x:col min="6" max="6" width="24" hidden="0" customWidth="1"/>
    <x:col min="7" max="7" width="24" hidden="0" customWidth="1"/>
    <x:col min="8" max="8" width="34" hidden="0" customWidth="1"/>
    <x:col min="9" max="9" width="28" hidden="0" customWidth="1"/>
    <x:col min="10" max="10" width="32" hidden="0" customWidth="1"/>
    <x:col min="11" max="11" width="28" hidden="0" customWidth="1"/>
    <x:col min="12" max="12" width="24" hidden="0" customWidth="1"/>
    <x:col min="13" max="13" width="28" hidden="0" customWidth="1"/>
    <x:col min="14" max="14" width="28" hidden="0" customWidth="1"/>
    <x:col min="15" max="15" width="46" hidden="0" customWidth="1"/>
    <x:col min="16" max="16" width="30" hidden="0" customWidth="1"/>
  </x:cols>
  <x:sheetData>
    <x:row r="1" ht="42" customHeight="1">
      <x:c r="A1" s="9" t="str">
        <x:v>化合物原文名称</x:v>
      </x:c>
      <x:c r="B1" s="9" t="str">
        <x:v>化合物标准名称</x:v>
      </x:c>
      <x:c r="C1" s="9" t="str">
        <x:v>结构类型</x:v>
      </x:c>
      <x:c r="D1" s="9" t="str">
        <x:v>来源类别</x:v>
      </x:c>
      <x:c r="E1" s="9" t="str">
        <x:v>来源具体描述</x:v>
      </x:c>
      <x:c r="F1" s="9" t="str">
        <x:v>测试卵菌拉丁名</x:v>
      </x:c>
      <x:c r="G1" s="9" t="str">
        <x:v>实验方法</x:v>
      </x:c>
      <x:c r="H1" s="9" t="str">
        <x:v>活性数据</x:v>
      </x:c>
      <x:c r="I1" s="9" t="str">
        <x:v>阳性对照</x:v>
      </x:c>
      <x:c r="J1" s="9" t="str">
        <x:v>作用靶标/机制</x:v>
      </x:c>
      <x:c r="K1" s="9" t="str">
        <x:v>靶标验证方法</x:v>
      </x:c>
      <x:c r="L1" s="9" t="str">
        <x:v>细胞毒性</x:v>
      </x:c>
      <x:c r="M1" s="9" t="str">
        <x:v>抗性/交叉抗性</x:v>
      </x:c>
      <x:c r="N1" s="9" t="str">
        <x:v>协同增效</x:v>
      </x:c>
      <x:c r="O1" s="9" t="str">
        <x:v>参考文献</x:v>
      </x:c>
      <x:c r="P1" s="9" t="str">
        <x:v>专利信息</x:v>
      </x:c>
    </x:row>
    <x:row r="2" ht="54" customHeight="1">
      <x:c r="A2" s="4" t="str">
        <x:v>aqueous extract of Artemisia verlotorum</x:v>
      </x:c>
      <x:c r="B2" s="4" t="str"/>
      <x:c r="C2" s="4" t="str">
        <x:v>植物提取物（水提物）</x:v>
      </x:c>
      <x:c r="D2" s="4" t="str">
        <x:v>植物天然产物</x:v>
      </x:c>
      <x:c r="E2" s="4" t="str">
        <x:v>Artemisia verlotorum， aerial parts</x:v>
      </x:c>
      <x:c r="F2" s="4" t="str">
        <x:v>Saprolegnia ferax</x:v>
      </x:c>
      <x:c r="G2" s="4" t="str">
        <x:v>菌丝生长抑制（琼脂掺入法）</x:v>
      </x:c>
      <x:c r="H2" s="4" t="str">
        <x:v>MIC = 1%</x:v>
      </x:c>
      <x:c r="I2" s="4" t="str"/>
      <x:c r="J2" s="4" t="str"/>
      <x:c r="K2" s="4" t="str"/>
      <x:c r="L2" s="4" t="str"/>
      <x:c r="M2" s="4" t="str"/>
      <x:c r="N2" s="4" t="str"/>
      <x:c r="O2" s="4" t="str">
        <x:v>Macchioni et al., 1999, Phytother. Res., DOI:</x:v>
      </x:c>
      <x:c r="P2" s="4" t="str"/>
    </x:row>
    <x:row r="3" ht="54" customHeight="1">
      <x:c r="A3" s="4" t="str">
        <x:v>methanol extract of Artemisia verlotorum</x:v>
      </x:c>
      <x:c r="B3" s="4" t="str"/>
      <x:c r="C3" s="4" t="str">
        <x:v>植物提取物（醇提物）</x:v>
      </x:c>
      <x:c r="D3" s="4" t="str">
        <x:v>植物天然产物</x:v>
      </x:c>
      <x:c r="E3" s="4" t="str">
        <x:v>Artemisia verlotorum， aerial parts</x:v>
      </x:c>
      <x:c r="F3" s="4" t="str">
        <x:v>Saprolegnia ferax</x:v>
      </x:c>
      <x:c r="G3" s="4" t="str">
        <x:v>菌丝生长抑制（琼脂掺入法）</x:v>
      </x:c>
      <x:c r="H3" s="4" t="str">
        <x:v>MIC = 0.25%</x:v>
      </x:c>
      <x:c r="I3" s="4" t="str"/>
      <x:c r="J3" s="4" t="str"/>
      <x:c r="K3" s="4" t="str"/>
      <x:c r="L3" s="4" t="str"/>
      <x:c r="M3" s="4" t="str"/>
      <x:c r="N3" s="4" t="str"/>
      <x:c r="O3" s="4" t="str">
        <x:v>Macchioni et al., 1999, Phytother. Res., DOI:</x:v>
      </x:c>
      <x:c r="P3" s="4" t="str"/>
    </x:row>
    <x:row r="4" ht="54" customHeight="1">
      <x:c r="A4" s="4" t="str">
        <x:v>ethanol fraction of Artemisia verlotorum</x:v>
      </x:c>
      <x:c r="B4" s="4" t="str"/>
      <x:c r="C4" s="4" t="str">
        <x:v>植物提取物（Amberlite IRC50乙醇洗脱组分）</x:v>
      </x:c>
      <x:c r="D4" s="4" t="str">
        <x:v>植物天然产物</x:v>
      </x:c>
      <x:c r="E4" s="4" t="str">
        <x:v>Artemisia verlotorum， aerial parts，经Amberlite IRC50柱层析，90%乙醇洗脱</x:v>
      </x:c>
      <x:c r="F4" s="4" t="str">
        <x:v>Saprolegnia ferax</x:v>
      </x:c>
      <x:c r="G4" s="4" t="str">
        <x:v>菌丝生长抑制（琼脂掺入法）</x:v>
      </x:c>
      <x:c r="H4" s="4" t="str">
        <x:v>MIC = 0.25%</x:v>
      </x:c>
      <x:c r="I4" s="4" t="str"/>
      <x:c r="J4" s="4" t="str"/>
      <x:c r="K4" s="4" t="str"/>
      <x:c r="L4" s="4" t="str"/>
      <x:c r="M4" s="4" t="str"/>
      <x:c r="N4" s="4" t="str"/>
      <x:c r="O4" s="4" t="str">
        <x:v>Macchioni et al., 1999, Phytother. Res., DOI:</x:v>
      </x:c>
      <x:c r="P4" s="4" t="str"/>
    </x:row>
    <x:row r="5" ht="54" customHeight="1">
      <x:c r="A5" s="4" t="str">
        <x:v>aqueous fraction of Artemisia verlotorum</x:v>
      </x:c>
      <x:c r="B5" s="4" t="str"/>
      <x:c r="C5" s="4" t="str">
        <x:v>植物提取物（Amberlite IRC50水洗脱组分）</x:v>
      </x:c>
      <x:c r="D5" s="4" t="str">
        <x:v>植物天然产物</x:v>
      </x:c>
      <x:c r="E5" s="4" t="str">
        <x:v>Artemisia verlotorum， aerial parts，经Amberlite IRC50柱层析，水洗脱</x:v>
      </x:c>
      <x:c r="F5" s="4" t="str">
        <x:v>Saprolegnia ferax</x:v>
      </x:c>
      <x:c r="G5" s="4" t="str">
        <x:v>菌丝生长抑制（琼脂掺入法）</x:v>
      </x:c>
      <x:c r="H5" s="4" t="str">
        <x:v>MIC = 0.25%</x:v>
      </x:c>
      <x:c r="I5" s="4" t="str"/>
      <x:c r="J5" s="4" t="str"/>
      <x:c r="K5" s="4" t="str"/>
      <x:c r="L5" s="4" t="str"/>
      <x:c r="M5" s="4" t="str"/>
      <x:c r="N5" s="4" t="str"/>
      <x:c r="O5" s="4" t="str">
        <x:v>Macchioni et al., 1999, Phytother. Res., DOI:</x:v>
      </x:c>
      <x:c r="P5" s="4" t="str"/>
    </x:row>
    <x:row r="6" ht="54" customHeight="1">
      <x:c r="A6" s="4" t="str">
        <x:v>aqueous extract of Santolina etrusca</x:v>
      </x:c>
      <x:c r="B6" s="4" t="str"/>
      <x:c r="C6" s="4" t="str">
        <x:v>植物提取物（水提物）</x:v>
      </x:c>
      <x:c r="D6" s="4" t="str">
        <x:v>植物天然产物</x:v>
      </x:c>
      <x:c r="E6" s="4" t="str">
        <x:v>Santolina etrusca， flowering and aerial parts</x:v>
      </x:c>
      <x:c r="F6" s="4" t="str">
        <x:v>Saprolegnia ferax</x:v>
      </x:c>
      <x:c r="G6" s="4" t="str">
        <x:v>菌丝生长抑制（琼脂掺入法）</x:v>
      </x:c>
      <x:c r="H6" s="4" t="str">
        <x:v>MIC = 2%</x:v>
      </x:c>
      <x:c r="I6" s="4" t="str"/>
      <x:c r="J6" s="4" t="str"/>
      <x:c r="K6" s="4" t="str"/>
      <x:c r="L6" s="4" t="str"/>
      <x:c r="M6" s="4" t="str"/>
      <x:c r="N6" s="4" t="str"/>
      <x:c r="O6" s="4" t="str">
        <x:v>Macchioni et al., 1999, Phytother. Res., DOI:</x:v>
      </x:c>
      <x:c r="P6" s="4" t="str"/>
    </x:row>
    <x:row r="7" ht="54" customHeight="1">
      <x:c r="A7" s="4" t="str">
        <x:v>methanol extract of Santolina etrusca</x:v>
      </x:c>
      <x:c r="B7" s="4" t="str"/>
      <x:c r="C7" s="4" t="str">
        <x:v>植物提取物（醇提物）</x:v>
      </x:c>
      <x:c r="D7" s="4" t="str">
        <x:v>植物天然产物</x:v>
      </x:c>
      <x:c r="E7" s="4" t="str">
        <x:v>Santolina etrusca， flowering and aerial parts</x:v>
      </x:c>
      <x:c r="F7" s="4" t="str">
        <x:v>Saprolegnia ferax</x:v>
      </x:c>
      <x:c r="G7" s="4" t="str">
        <x:v>菌丝生长抑制（琼脂掺入法）</x:v>
      </x:c>
      <x:c r="H7" s="4" t="str">
        <x:v>MIC = 1%</x:v>
      </x:c>
      <x:c r="I7" s="4" t="str"/>
      <x:c r="J7" s="4" t="str"/>
      <x:c r="K7" s="4" t="str"/>
      <x:c r="L7" s="4" t="str"/>
      <x:c r="M7" s="4" t="str"/>
      <x:c r="N7" s="4" t="str"/>
      <x:c r="O7" s="4" t="str">
        <x:v>Macchioni et al., 1999, Phytother. Res., DOI:</x:v>
      </x:c>
      <x:c r="P7" s="4" t="str"/>
    </x:row>
    <x:row r="8" ht="54" customHeight="1">
      <x:c r="A8" s="4" t="str">
        <x:v>ethanol fraction of Santolina etrusca</x:v>
      </x:c>
      <x:c r="B8" s="4" t="str"/>
      <x:c r="C8" s="4" t="str">
        <x:v>植物提取物（Amberlite IRC50乙醇洗脱组分）</x:v>
      </x:c>
      <x:c r="D8" s="4" t="str">
        <x:v>植物天然产物</x:v>
      </x:c>
      <x:c r="E8" s="4" t="str">
        <x:v>Santolina etrusca， flowering and aerial parts，经Amberlite IRC50柱层析，90%乙醇洗脱</x:v>
      </x:c>
      <x:c r="F8" s="4" t="str">
        <x:v>Saprolegnia ferax</x:v>
      </x:c>
      <x:c r="G8" s="4" t="str">
        <x:v>菌丝生长抑制（琼脂掺入法）</x:v>
      </x:c>
      <x:c r="H8" s="4" t="str">
        <x:v>MIC = 0.25%</x:v>
      </x:c>
      <x:c r="I8" s="4" t="str"/>
      <x:c r="J8" s="4" t="str"/>
      <x:c r="K8" s="4" t="str"/>
      <x:c r="L8" s="4" t="str"/>
      <x:c r="M8" s="4" t="str"/>
      <x:c r="N8" s="4" t="str"/>
      <x:c r="O8" s="4" t="str">
        <x:v>Macchioni et al., 1999, Phytother. Res., DOI:</x:v>
      </x:c>
      <x:c r="P8" s="4" t="str"/>
    </x:row>
    <x:row r="9" ht="54" customHeight="1">
      <x:c r="A9" s="4" t="str">
        <x:v>aqueous fraction of Santolina etrusca</x:v>
      </x:c>
      <x:c r="B9" s="4" t="str"/>
      <x:c r="C9" s="4" t="str">
        <x:v>植物提取物（Amberlite IRC50水洗脱组分）</x:v>
      </x:c>
      <x:c r="D9" s="4" t="str">
        <x:v>植物天然产物</x:v>
      </x:c>
      <x:c r="E9" s="4" t="str">
        <x:v>Santolina etrusca， flowering and aerial parts，经Amberlite IRC50柱层析，水洗脱</x:v>
      </x:c>
      <x:c r="F9" s="4" t="str">
        <x:v>Saprolegnia ferax</x:v>
      </x:c>
      <x:c r="G9" s="4" t="str">
        <x:v>菌丝生长抑制（琼脂掺入法）</x:v>
      </x:c>
      <x:c r="H9" s="4" t="str">
        <x:v>MIC = 0.25%</x:v>
      </x:c>
      <x:c r="I9" s="4" t="str"/>
      <x:c r="J9" s="4" t="str"/>
      <x:c r="K9" s="4" t="str"/>
      <x:c r="L9" s="4" t="str"/>
      <x:c r="M9" s="4" t="str"/>
      <x:c r="N9" s="4" t="str"/>
      <x:c r="O9" s="4" t="str">
        <x:v>Macchioni et al., 1999, Phytother. Res., DOI:</x:v>
      </x:c>
      <x:c r="P9" s="4" t="str"/>
    </x:row>
    <x:row r="10" ht="54" customHeight="1">
      <x:c r="A10" s="4" t="str">
        <x:v>dihydroeugenol (1)</x:v>
      </x:c>
      <x:c r="B10" s="4" t="str">
        <x:v>2-methoxy-4-propylphenol</x:v>
      </x:c>
      <x:c r="C10" s="4" t="str">
        <x:v>苯丙素类</x:v>
      </x:c>
      <x:c r="D10" s="4" t="str">
        <x:v>植物天然产物</x:v>
      </x:c>
      <x:c r="E10" s="4" t="str">
        <x:v>丁香（Syzygium aromaticum），花蕾；购自Aladdin Chemistry Co., Ltd.</x:v>
      </x:c>
      <x:c r="F10" s="4" t="str">
        <x:v>Phytophthora capsici</x:v>
      </x:c>
      <x:c r="G10" s="4" t="str">
        <x:v>菌丝生长抑制</x:v>
      </x:c>
      <x:c r="H10" s="4" t="str">
        <x:v>EC50 = 108.17 mg/L</x:v>
      </x:c>
      <x:c r="I10" s="4" t="str">
        <x:v>zoxamide</x:v>
      </x:c>
      <x:c r="J10" s="4" t="str"/>
      <x:c r="K10" s="4" t="str"/>
      <x:c r="L10" s="4" t="str"/>
      <x:c r="M10" s="4" t="str"/>
      <x:c r="N10" s="4" t="str"/>
      <x:c r="O10" s="4" t="str">
        <x:v>Genqiang Chen et al., Synthesis and Anti-Oomycete Activity of 1-Sulfonyloxy/Acyloxydihydroeugenol Derivatives, 10.1002/cbdv.202100329</x:v>
      </x:c>
      <x:c r="P10" s="4" t="str"/>
    </x:row>
    <x:row r="11" ht="54" customHeight="1">
      <x:c r="A11" s="4" t="str">
        <x:v>eugenol</x:v>
      </x:c>
      <x:c r="B11" s="4" t="str">
        <x:v>4-allyl-2-methoxyphenol</x:v>
      </x:c>
      <x:c r="C11" s="4" t="str">
        <x:v>苯丙素类</x:v>
      </x:c>
      <x:c r="D11" s="4" t="str">
        <x:v>植物天然产物</x:v>
      </x:c>
      <x:c r="E11" s="4" t="str">
        <x:v>丁香（Syzygium aromaticum），花蕾；购自Aladdin Chemistry Co., Ltd.</x:v>
      </x:c>
      <x:c r="F11" s="4" t="str">
        <x:v>Phytophthora capsici</x:v>
      </x:c>
      <x:c r="G11" s="4" t="str">
        <x:v>菌丝生长抑制</x:v>
      </x:c>
      <x:c r="H11" s="4" t="str">
        <x:v>EC50 = 243.19 mg/L</x:v>
      </x:c>
      <x:c r="I11" s="4" t="str">
        <x:v>zoxamide</x:v>
      </x:c>
      <x:c r="J11" s="4" t="str"/>
      <x:c r="K11" s="4" t="str"/>
      <x:c r="L11" s="4" t="str"/>
      <x:c r="M11" s="4" t="str"/>
      <x:c r="N11" s="4" t="str"/>
      <x:c r="O11" s="4" t="str">
        <x:v>Genqiang Chen et al., Synthesis and Anti-Oomycete Activity of 1-Sulfonyloxy/Acyloxydihydroeugenol Derivatives, 10.1002/cbdv.202100329</x:v>
      </x:c>
      <x:c r="P11" s="4" t="str"/>
    </x:row>
    <x:row r="12" ht="54" customHeight="1">
      <x:c r="A12" s="4" t="str">
        <x:v>compound 3a</x:v>
      </x:c>
      <x:c r="B12" s="4" t="str">
        <x:v>1-(ethanesulfonyloxy)-2-methoxy-4-propylbenzene</x:v>
      </x:c>
      <x:c r="C12" s="4" t="str">
        <x:v>苯丙素类（磺酸酯衍生物）</x:v>
      </x:c>
      <x:c r="D12" s="4" t="str">
        <x:v>半合成</x:v>
      </x:c>
      <x:c r="E12" s="4" t="str">
        <x:v>以dihydroeugenol为原料，与ethanesulfonyl chloride在CH₂Cl₂中经Et₃N催化反应制得</x:v>
      </x:c>
      <x:c r="F12" s="4" t="str">
        <x:v>Phytophthora capsici</x:v>
      </x:c>
      <x:c r="G12" s="4" t="str">
        <x:v>菌丝生长抑制</x:v>
      </x:c>
      <x:c r="H12" s="4" t="str">
        <x:v>EC50 = 69.33 mg/L</x:v>
      </x:c>
      <x:c r="I12" s="4" t="str">
        <x:v>zoxamide</x:v>
      </x:c>
      <x:c r="J12" s="4" t="str"/>
      <x:c r="K12" s="4" t="str"/>
      <x:c r="L12" s="4" t="str"/>
      <x:c r="M12" s="4" t="str"/>
      <x:c r="N12" s="4" t="str"/>
      <x:c r="O12" s="4" t="str">
        <x:v>Genqiang Chen et al., Synthesis and Anti-Oomycete Activity of 1-Sulfonyloxy/Acyloxydihydroeugenol Derivatives, 10.1002/cbdv.202100329</x:v>
      </x:c>
      <x:c r="P12" s="4" t="str"/>
    </x:row>
    <x:row r="13" ht="54" customHeight="1">
      <x:c r="A13" s="4" t="str">
        <x:v>compound 3c</x:v>
      </x:c>
      <x:c r="B13" s="4" t="str">
        <x:v>1-(propanesulfonyloxy)-2-methoxy-4-propylbenzene</x:v>
      </x:c>
      <x:c r="C13" s="4" t="str">
        <x:v>苯丙素类（磺酸酯衍生物）</x:v>
      </x:c>
      <x:c r="D13" s="4" t="str">
        <x:v>半合成</x:v>
      </x:c>
      <x:c r="E13" s="4" t="str">
        <x:v>以dihydroeugenol为原料，与propanesulfonyl chloride在CH₂Cl₂中经Et₃N催化反应制得</x:v>
      </x:c>
      <x:c r="F13" s="4" t="str">
        <x:v>Phytophthora capsici</x:v>
      </x:c>
      <x:c r="G13" s="4" t="str">
        <x:v>菌丝生长抑制</x:v>
      </x:c>
      <x:c r="H13" s="4" t="str">
        <x:v>EC50 = 93.94 mg/L</x:v>
      </x:c>
      <x:c r="I13" s="4" t="str">
        <x:v>zoxamide</x:v>
      </x:c>
      <x:c r="J13" s="4" t="str"/>
      <x:c r="K13" s="4" t="str"/>
      <x:c r="L13" s="4" t="str"/>
      <x:c r="M13" s="4" t="str"/>
      <x:c r="N13" s="4" t="str"/>
      <x:c r="O13" s="4" t="str">
        <x:v>Genqiang Chen et al., Synthesis and Anti-Oomycete Activity of 1-Sulfonyloxy/Acyloxydihydroeugenol Derivatives, 10.1002/cbdv.202100329</x:v>
      </x:c>
      <x:c r="P13" s="4" t="str"/>
    </x:row>
    <x:row r="14" ht="54" customHeight="1">
      <x:c r="A14" s="4" t="str">
        <x:v>compound 3m</x:v>
      </x:c>
      <x:c r="B14" s="4" t="str">
        <x:v>1-((4-chloro-3-nitrophenyl)sulfonyloxy)-2-methoxy-4-propylbenzene</x:v>
      </x:c>
      <x:c r="C14" s="4" t="str">
        <x:v>苯丙素类（磺酸酯衍生物）</x:v>
      </x:c>
      <x:c r="D14" s="4" t="str">
        <x:v>半合成</x:v>
      </x:c>
      <x:c r="E14" s="4" t="str">
        <x:v>以dihydroeugenol为原料，与4-chloro-3-nitrobenzenesulfonyl chloride在CH₂Cl₂中经Et₃N催化反应制得</x:v>
      </x:c>
      <x:c r="F14" s="4" t="str">
        <x:v>Phytophthora capsici</x:v>
      </x:c>
      <x:c r="G14" s="4" t="str">
        <x:v>菌丝生长抑制</x:v>
      </x:c>
      <x:c r="H14" s="4" t="str">
        <x:v>EC50 = 86.71 mg/L</x:v>
      </x:c>
      <x:c r="I14" s="4" t="str">
        <x:v>zoxamide</x:v>
      </x:c>
      <x:c r="J14" s="4" t="str"/>
      <x:c r="K14" s="4" t="str"/>
      <x:c r="L14" s="4" t="str"/>
      <x:c r="M14" s="4" t="str"/>
      <x:c r="N14" s="4" t="str"/>
      <x:c r="O14" s="4" t="str">
        <x:v>Genqiang Chen et al., Synthesis and Anti-Oomycete Activity of 1-Sulfonyloxy/Acyloxydihydroeugenol Derivatives, 10.1002/cbdv.202100329</x:v>
      </x:c>
      <x:c r="P14" s="4" t="str"/>
    </x:row>
    <x:row r="15" ht="54" customHeight="1">
      <x:c r="A15" s="4" t="str">
        <x:v>compound 3n</x:v>
      </x:c>
      <x:c r="B15" s="4" t="str">
        <x:v>1-((3,4-dichlorophenyl)sulfonyloxy)-2-methoxy-4-propylbenzene</x:v>
      </x:c>
      <x:c r="C15" s="4" t="str">
        <x:v>苯丙素类（磺酸酯衍生物）</x:v>
      </x:c>
      <x:c r="D15" s="4" t="str">
        <x:v>半合成</x:v>
      </x:c>
      <x:c r="E15" s="4" t="str">
        <x:v>以dihydroeugenol为原料，与3,4-dichlorobenzenesulfonyl chloride在CH₂Cl₂中经Et₃N催化反应制得</x:v>
      </x:c>
      <x:c r="F15" s="4" t="str">
        <x:v>Phytophthora capsici</x:v>
      </x:c>
      <x:c r="G15" s="4" t="str">
        <x:v>菌丝生长抑制</x:v>
      </x:c>
      <x:c r="H15" s="4" t="str">
        <x:v>EC50 = 90.18 mg/L</x:v>
      </x:c>
      <x:c r="I15" s="4" t="str">
        <x:v>zoxamide</x:v>
      </x:c>
      <x:c r="J15" s="4" t="str"/>
      <x:c r="K15" s="4" t="str"/>
      <x:c r="L15" s="4" t="str"/>
      <x:c r="M15" s="4" t="str"/>
      <x:c r="N15" s="4" t="str"/>
      <x:c r="O15" s="4" t="str">
        <x:v>Genqiang Chen et al., Synthesis and Anti-Oomycete Activity of 1-Sulfonyloxy/Acyloxydihydroeugenol Derivatives, 10.1002/cbdv.202100329</x:v>
      </x:c>
      <x:c r="P15" s="4" t="str"/>
    </x:row>
    <x:row r="16" ht="54" customHeight="1">
      <x:c r="A16" s="4" t="str">
        <x:v>compound 5a</x:v>
      </x:c>
      <x:c r="B16" s="4" t="str">
        <x:v>1-(benzoyloxy)-2-methoxy-4-propylbenzene</x:v>
      </x:c>
      <x:c r="C16" s="4" t="str">
        <x:v>苯丙素类（酯衍生物）</x:v>
      </x:c>
      <x:c r="D16" s="4" t="str">
        <x:v>半合成</x:v>
      </x:c>
      <x:c r="E16" s="4" t="str">
        <x:v>以dihydroeugenol为原料，与苯甲酸经PPh₃/Br₃CSO₂Ph活化后在CH₂Cl₂中经Et₃N催化反应制得</x:v>
      </x:c>
      <x:c r="F16" s="4" t="str">
        <x:v>Phytophthora capsici</x:v>
      </x:c>
      <x:c r="G16" s="4" t="str">
        <x:v>菌丝生长抑制</x:v>
      </x:c>
      <x:c r="H16" s="4" t="str">
        <x:v>EC50 = 74.50 mg/L</x:v>
      </x:c>
      <x:c r="I16" s="4" t="str">
        <x:v>zoxamide</x:v>
      </x:c>
      <x:c r="J16" s="4" t="str"/>
      <x:c r="K16" s="4" t="str"/>
      <x:c r="L16" s="4" t="str"/>
      <x:c r="M16" s="4" t="str"/>
      <x:c r="N16" s="4" t="str"/>
      <x:c r="O16" s="4" t="str">
        <x:v>Genqiang Chen et al., Synthesis and Anti-Oomycete Activity of 1-Sulfonyloxy/Acyloxydihydroeugenol Derivatives, 10.1002/cbdv.202100329</x:v>
      </x:c>
      <x:c r="P16" s="4" t="str"/>
    </x:row>
    <x:row r="17" ht="54" customHeight="1">
      <x:c r="A17" s="4" t="str">
        <x:v>compound 5b</x:v>
      </x:c>
      <x:c r="B17" s="4" t="str">
        <x:v>1-((2-methylbenzoyl)oxy)-2-methoxy-4-propylbenzene</x:v>
      </x:c>
      <x:c r="C17" s="4" t="str">
        <x:v>苯丙素类（酯衍生物）</x:v>
      </x:c>
      <x:c r="D17" s="4" t="str">
        <x:v>半合成</x:v>
      </x:c>
      <x:c r="E17" s="4" t="str">
        <x:v>以dihydroeugenol为原料，与2-methylbenzoic acid经PPh₃/Br₃CSO₂Ph活化后在CH₂Cl₂中经Et₃N催化反应制得</x:v>
      </x:c>
      <x:c r="F17" s="4" t="str">
        <x:v>Phytophthora capsici</x:v>
      </x:c>
      <x:c r="G17" s="4" t="str">
        <x:v>菌丝生长抑制</x:v>
      </x:c>
      <x:c r="H17" s="4" t="str">
        <x:v>EC50 = 81.96 mg/L</x:v>
      </x:c>
      <x:c r="I17" s="4" t="str">
        <x:v>zoxamide</x:v>
      </x:c>
      <x:c r="J17" s="4" t="str"/>
      <x:c r="K17" s="4" t="str"/>
      <x:c r="L17" s="4" t="str"/>
      <x:c r="M17" s="4" t="str"/>
      <x:c r="N17" s="4" t="str"/>
      <x:c r="O17" s="4" t="str">
        <x:v>Genqiang Chen et al., Synthesis and Anti-Oomycete Activity of 1-Sulfonyloxy/Acyloxydihydroeugenol Derivatives, 10.1002/cbdv.202100329</x:v>
      </x:c>
      <x:c r="P17" s="4" t="str"/>
    </x:row>
    <x:row r="18" ht="54" customHeight="1">
      <x:c r="A18" s="4" t="str">
        <x:v>compound 5c</x:v>
      </x:c>
      <x:c r="B18" s="4" t="str">
        <x:v>1-((4-methylbenzoyl)oxy)-2-methoxy-4-propylbenzene</x:v>
      </x:c>
      <x:c r="C18" s="4" t="str">
        <x:v>苯丙素类（酯衍生物）</x:v>
      </x:c>
      <x:c r="D18" s="4" t="str">
        <x:v>半合成</x:v>
      </x:c>
      <x:c r="E18" s="4" t="str">
        <x:v>以dihydroeugenol为原料，与4-methylbenzoic acid经PPh₃/Br₃CSO₂Ph活化后在CH₂Cl₂中经Et₃N催化反应制得</x:v>
      </x:c>
      <x:c r="F18" s="4" t="str">
        <x:v>Phytophthora capsici</x:v>
      </x:c>
      <x:c r="G18" s="4" t="str">
        <x:v>菌丝生长抑制</x:v>
      </x:c>
      <x:c r="H18" s="4" t="str">
        <x:v>EC50 = 68.81 mg/L</x:v>
      </x:c>
      <x:c r="I18" s="4" t="str">
        <x:v>zoxamide</x:v>
      </x:c>
      <x:c r="J18" s="4" t="str"/>
      <x:c r="K18" s="4" t="str"/>
      <x:c r="L18" s="4" t="str"/>
      <x:c r="M18" s="4" t="str"/>
      <x:c r="N18" s="4" t="str"/>
      <x:c r="O18" s="4" t="str">
        <x:v>Genqiang Chen et al., Synthesis and Anti-Oomycete Activity of 1-Sulfonyloxy/Acyloxydihydroeugenol Derivatives, 10.1002/cbdv.202100329</x:v>
      </x:c>
      <x:c r="P18" s="4" t="str"/>
    </x:row>
    <x:row r="19" ht="54" customHeight="1">
      <x:c r="A19" s="4" t="str">
        <x:v>compound 5d</x:v>
      </x:c>
      <x:c r="B19" s="4" t="str">
        <x:v>1-((3-methylbenzoyl)oxy)-2-methoxy-4-propylbenzene</x:v>
      </x:c>
      <x:c r="C19" s="4" t="str">
        <x:v>苯丙素类（酯衍生物）</x:v>
      </x:c>
      <x:c r="D19" s="4" t="str">
        <x:v>半合成</x:v>
      </x:c>
      <x:c r="E19" s="4" t="str">
        <x:v>以dihydroeugenol为原料，与3-methylbenzoic acid经PPh₃/Br₃CSO₂Ph活化后在CH₂Cl₂中经Et₃N催化反应制得</x:v>
      </x:c>
      <x:c r="F19" s="4" t="str">
        <x:v>Phytophthora capsici</x:v>
      </x:c>
      <x:c r="G19" s="4" t="str">
        <x:v>菌丝生长抑制</x:v>
      </x:c>
      <x:c r="H19" s="4" t="str">
        <x:v>EC50 = 83.50 mg/L</x:v>
      </x:c>
      <x:c r="I19" s="4" t="str">
        <x:v>zoxamide</x:v>
      </x:c>
      <x:c r="J19" s="4" t="str"/>
      <x:c r="K19" s="4" t="str"/>
      <x:c r="L19" s="4" t="str"/>
      <x:c r="M19" s="4" t="str"/>
      <x:c r="N19" s="4" t="str"/>
      <x:c r="O19" s="4" t="str">
        <x:v>Genqiang Chen et al., Synthesis and Anti-Oomycete Activity of 1-Sulfonyloxy/Acyloxydihydroeugenol Derivatives, 10.1002/cbdv.202100329</x:v>
      </x:c>
      <x:c r="P19" s="4" t="str"/>
    </x:row>
    <x:row r="20" ht="54" customHeight="1">
      <x:c r="A20" s="4" t="str">
        <x:v>compound 5e</x:v>
      </x:c>
      <x:c r="B20" s="4" t="str">
        <x:v>1-((4-nitrobenzoyl)oxy)-2-methoxy-4-propylbenzene</x:v>
      </x:c>
      <x:c r="C20" s="4" t="str">
        <x:v>苯丙素类（酯衍生物）</x:v>
      </x:c>
      <x:c r="D20" s="4" t="str">
        <x:v>半合成</x:v>
      </x:c>
      <x:c r="E20" s="4" t="str">
        <x:v>以dihydroeugenol为原料，与4-nitrobenzoic acid经PPh₃/Br₃CSO₂Ph活化后在CH₂Cl₂中经Et₃N催化反应制得</x:v>
      </x:c>
      <x:c r="F20" s="4" t="str">
        <x:v>Phytophthora capsici</x:v>
      </x:c>
      <x:c r="G20" s="4" t="str">
        <x:v>菌丝生长抑制</x:v>
      </x:c>
      <x:c r="H20" s="4" t="str">
        <x:v>EC50 = 67.77 mg/L</x:v>
      </x:c>
      <x:c r="I20" s="4" t="str">
        <x:v>zoxamide</x:v>
      </x:c>
      <x:c r="J20" s="4" t="str"/>
      <x:c r="K20" s="4" t="str"/>
      <x:c r="L20" s="4" t="str"/>
      <x:c r="M20" s="4" t="str"/>
      <x:c r="N20" s="4" t="str"/>
      <x:c r="O20" s="4" t="str">
        <x:v>Genqiang Chen et al., Synthesis and Anti-Oomycete Activity of 1-Sulfonyloxy/Acyloxydihydroeugenol Derivatives, 10.1002/cbdv.202100329</x:v>
      </x:c>
      <x:c r="P20" s="4" t="str"/>
    </x:row>
    <x:row r="21" ht="54" customHeight="1">
      <x:c r="A21" s="4" t="str">
        <x:v>compound 5f</x:v>
      </x:c>
      <x:c r="B21" s="4" t="str">
        <x:v>1-((2-nitrobenzoyl)oxy)-2-methoxy-4-propylbenzene</x:v>
      </x:c>
      <x:c r="C21" s="4" t="str">
        <x:v>苯丙素类（酯衍生物）</x:v>
      </x:c>
      <x:c r="D21" s="4" t="str">
        <x:v>半合成</x:v>
      </x:c>
      <x:c r="E21" s="4" t="str">
        <x:v>以dihydroeugenol为原料，与2-nitrobenzoic acid经PPh₃/Br₃CSO₂Ph活化后在CH₂Cl₂中经Et₃N催化反应制得</x:v>
      </x:c>
      <x:c r="F21" s="4" t="str">
        <x:v>Phytophthora capsici</x:v>
      </x:c>
      <x:c r="G21" s="4" t="str">
        <x:v>菌丝生长抑制</x:v>
      </x:c>
      <x:c r="H21" s="4" t="str">
        <x:v>EC50 = 84.27 mg/L</x:v>
      </x:c>
      <x:c r="I21" s="4" t="str">
        <x:v>zoxamide</x:v>
      </x:c>
      <x:c r="J21" s="4" t="str"/>
      <x:c r="K21" s="4" t="str"/>
      <x:c r="L21" s="4" t="str"/>
      <x:c r="M21" s="4" t="str"/>
      <x:c r="N21" s="4" t="str"/>
      <x:c r="O21" s="4" t="str">
        <x:v>Genqiang Chen et al., Synthesis and Anti-Oomycete Activity of 1-Sulfonyloxy/Acyloxydihydroeugenol Derivatives, 10.1002/cbdv.202100329</x:v>
      </x:c>
      <x:c r="P21" s="4" t="str"/>
    </x:row>
    <x:row r="22" ht="54" customHeight="1">
      <x:c r="A22" s="4" t="str">
        <x:v>compound 5g</x:v>
      </x:c>
      <x:c r="B22" s="4" t="str">
        <x:v>1-((3-nitrobenzoyl)oxy)-2-methoxy-4-propylbenzene</x:v>
      </x:c>
      <x:c r="C22" s="4" t="str">
        <x:v>苯丙素类（酯衍生物）</x:v>
      </x:c>
      <x:c r="D22" s="4" t="str">
        <x:v>半合成</x:v>
      </x:c>
      <x:c r="E22" s="4" t="str">
        <x:v>以dihydroeugenol为原料，与3-nitrobenzoic acid经PPh₃/Br₃CSO₂Ph活化后在CH₂Cl₂中经Et₃N催化反应制得</x:v>
      </x:c>
      <x:c r="F22" s="4" t="str">
        <x:v>Phytophthora capsici</x:v>
      </x:c>
      <x:c r="G22" s="4" t="str">
        <x:v>菌丝生长抑制</x:v>
      </x:c>
      <x:c r="H22" s="4" t="str">
        <x:v>EC50 = 77.72 mg/L</x:v>
      </x:c>
      <x:c r="I22" s="4" t="str">
        <x:v>zoxamide</x:v>
      </x:c>
      <x:c r="J22" s="4" t="str"/>
      <x:c r="K22" s="4" t="str"/>
      <x:c r="L22" s="4" t="str"/>
      <x:c r="M22" s="4" t="str"/>
      <x:c r="N22" s="4" t="str"/>
      <x:c r="O22" s="4" t="str">
        <x:v>Genqiang Chen et al., Synthesis and Anti-Oomycete Activity of 1-Sulfonyloxy/Acyloxydihydroeugenol Derivatives, 10.1002/cbdv.202100329</x:v>
      </x:c>
      <x:c r="P22" s="4" t="str"/>
    </x:row>
    <x:row r="23" ht="54" customHeight="1">
      <x:c r="A23" s="4" t="str">
        <x:v>compound 5h</x:v>
      </x:c>
      <x:c r="B23" s="4" t="str">
        <x:v>1-((4-fluorobenzoyl)oxy)-2-methoxy-4-propylbenzene</x:v>
      </x:c>
      <x:c r="C23" s="4" t="str">
        <x:v>苯丙素类（酯衍生物）</x:v>
      </x:c>
      <x:c r="D23" s="4" t="str">
        <x:v>半合成</x:v>
      </x:c>
      <x:c r="E23" s="4" t="str">
        <x:v>以dihydroeugenol为原料，与4-fluorobenzoic acid经PPh₃/Br₃CSO₂Ph活化后在CH₂Cl₂中经Et₃N催化反应制得</x:v>
      </x:c>
      <x:c r="F23" s="4" t="str">
        <x:v>Phytophthora capsici</x:v>
      </x:c>
      <x:c r="G23" s="4" t="str">
        <x:v>菌丝生长抑制</x:v>
      </x:c>
      <x:c r="H23" s="4" t="str">
        <x:v>EC50 = 83.96 mg/L</x:v>
      </x:c>
      <x:c r="I23" s="4" t="str">
        <x:v>zoxamide</x:v>
      </x:c>
      <x:c r="J23" s="4" t="str"/>
      <x:c r="K23" s="4" t="str"/>
      <x:c r="L23" s="4" t="str"/>
      <x:c r="M23" s="4" t="str"/>
      <x:c r="N23" s="4" t="str"/>
      <x:c r="O23" s="4" t="str">
        <x:v>Genqiang Chen et al., Synthesis and Anti-Oomycete Activity of 1-Sulfonyloxy/Acyloxydihydroeugenol Derivatives, 10.1002/cbdv.202100329</x:v>
      </x:c>
      <x:c r="P23" s="4" t="str"/>
    </x:row>
    <x:row r="24" ht="54" customHeight="1">
      <x:c r="A24" s="4" t="str">
        <x:v>compound 5i</x:v>
      </x:c>
      <x:c r="B24" s="4" t="str">
        <x:v>1-((4-bromobenzoyl)oxy)-2-methoxy-4-propylbenzene</x:v>
      </x:c>
      <x:c r="C24" s="4" t="str">
        <x:v>苯丙素类（酯衍生物）</x:v>
      </x:c>
      <x:c r="D24" s="4" t="str">
        <x:v>半合成</x:v>
      </x:c>
      <x:c r="E24" s="4" t="str">
        <x:v>以dihydroeugenol为原料，与4-bromobenzoic acid经PPh₃/Br₃CSO₂Ph活化后在CH₂Cl₂中经Et₃N催化反应制得</x:v>
      </x:c>
      <x:c r="F24" s="4" t="str">
        <x:v>Phytophthora capsici</x:v>
      </x:c>
      <x:c r="G24" s="4" t="str">
        <x:v>菌丝生长抑制</x:v>
      </x:c>
      <x:c r="H24" s="4" t="str">
        <x:v>EC50 = 80.50 mg/L</x:v>
      </x:c>
      <x:c r="I24" s="4" t="str">
        <x:v>zoxamide</x:v>
      </x:c>
      <x:c r="J24" s="4" t="str"/>
      <x:c r="K24" s="4" t="str"/>
      <x:c r="L24" s="4" t="str"/>
      <x:c r="M24" s="4" t="str"/>
      <x:c r="N24" s="4" t="str"/>
      <x:c r="O24" s="4" t="str">
        <x:v>Genqiang Chen et al., Synthesis and Anti-Oomycete Activity of 1-Sulfonyloxy/Acyloxydihydroeugenol Derivatives, 10.1002/cbdv.202100329</x:v>
      </x:c>
      <x:c r="P24" s="4" t="str"/>
    </x:row>
    <x:row r="25" ht="54" customHeight="1">
      <x:c r="A25" s="4" t="str">
        <x:v>compound 5j</x:v>
      </x:c>
      <x:c r="B25" s="4" t="str">
        <x:v>1-((4-chlorobenzoyl)oxy)-2-methoxy-4-propylbenzene</x:v>
      </x:c>
      <x:c r="C25" s="4" t="str">
        <x:v>苯丙素类（酯衍生物）</x:v>
      </x:c>
      <x:c r="D25" s="4" t="str">
        <x:v>半合成</x:v>
      </x:c>
      <x:c r="E25" s="4" t="str">
        <x:v>以dihydroeugenol为原料，与4-chlorobenzoic acid经PPh₃/Br₃CSO₂Ph活化后在CH₂Cl₂中经Et₃N催化反应制得</x:v>
      </x:c>
      <x:c r="F25" s="4" t="str">
        <x:v>Phytophthora capsici</x:v>
      </x:c>
      <x:c r="G25" s="4" t="str">
        <x:v>菌丝生长抑制</x:v>
      </x:c>
      <x:c r="H25" s="4" t="str">
        <x:v>EC50 = 80.50 mg/L</x:v>
      </x:c>
      <x:c r="I25" s="4" t="str">
        <x:v>zoxamide</x:v>
      </x:c>
      <x:c r="J25" s="4" t="str"/>
      <x:c r="K25" s="4" t="str"/>
      <x:c r="L25" s="4" t="str"/>
      <x:c r="M25" s="4" t="str"/>
      <x:c r="N25" s="4" t="str"/>
      <x:c r="O25" s="4" t="str">
        <x:v>Genqiang Chen et al., Synthesis and Anti-Oomycete Activity of 1-Sulfonyloxy/Acyloxydihydroeugenol Derivatives, 10.1002/cbdv.202100329</x:v>
      </x:c>
      <x:c r="P25" s="4" t="str"/>
    </x:row>
    <x:row r="26" ht="54" customHeight="1">
      <x:c r="A26" s="4" t="str">
        <x:v>cymoxanil</x:v>
      </x:c>
      <x:c r="B26" s="4" t="str">
        <x:v>Cymoxanil</x:v>
      </x:c>
      <x:c r="C26" s="4" t="str">
        <x:v>脲类衍生物（氰基肟类）</x:v>
      </x:c>
      <x:c r="D26" s="4" t="str">
        <x:v>商品化</x:v>
      </x:c>
      <x:c r="E26" s="4" t="str">
        <x:v>Curzate 500 g kg⁻¹ WP</x:v>
      </x:c>
      <x:c r="F26" s="4" t="str">
        <x:v>Phytophthora infestans</x:v>
      </x:c>
      <x:c r="G26" s="4" t="str">
        <x:v>菌丝生长抑制（in-vitro radial growth assay）</x:v>
      </x:c>
      <x:c r="H26" s="4" t="str">
        <x:v>EC50 = 0.06–1.48 mg/L（191个当代分离株）；pre-commercialization群体均值EC50 = 0.19 ± 0.12 mg/L；当代群体均值EC50 = 0.42 ± 0.25 mg/L</x:v>
      </x:c>
      <x:c r="I26" s="4" t="str"/>
      <x:c r="J26" s="4" t="str">
        <x:v>多位点作用机制</x:v>
      </x:c>
      <x:c r="K26" s="4" t="str"/>
      <x:c r="L26" s="4" t="str"/>
      <x:c r="M26" s="4" t="str">
        <x:v>无田间抗性报道；与甲霜灵等无交叉抗性信息提及</x:v>
      </x:c>
      <x:c r="N26" s="4" t="str">
        <x:v>通常与其他杀菌剂混用进行预防性施药</x:v>
      </x:c>
      <x:c r="O26" s="4" t="str">
        <x:v>Hamlen RA, Power RJ. Communication to the Editor Distribution of Sensitivity Responses to Cymoxanil within Global Populations of Phytophthora infestans¤. Based on a poster presented at Resistance ’97 Conference, 1997.</x:v>
      </x:c>
      <x:c r="P26" s="4" t="str"/>
    </x:row>
    <x:row r="27" ht="54" customHeight="1">
      <x:c r="A27" s="4" t="str">
        <x:v>cymoxanil</x:v>
      </x:c>
      <x:c r="B27" s="4" t="str">
        <x:v>Cymoxanil</x:v>
      </x:c>
      <x:c r="C27" s="4" t="str">
        <x:v>脲类衍生物（氰基肟类）</x:v>
      </x:c>
      <x:c r="D27" s="4" t="str">
        <x:v>商品化</x:v>
      </x:c>
      <x:c r="E27" s="4" t="str">
        <x:v>Curzate 500 g kg⁻¹ WP</x:v>
      </x:c>
      <x:c r="F27" s="4" t="str">
        <x:v>Phytophthora infestans</x:v>
      </x:c>
      <x:c r="G27" s="4" t="str">
        <x:v>温室盆栽试验（离体叶片或整株接种）</x:v>
      </x:c>
      <x:c r="H27" s="4" t="str">
        <x:v>对敏感性差异大的两个分离株（EC50分别为40和23 g/ha），田间推荐剂量100 g/ha可有效控制</x:v>
      </x:c>
      <x:c r="I27" s="4" t="str"/>
      <x:c r="J27" s="4" t="str">
        <x:v>多位点作用机制</x:v>
      </x:c>
      <x:c r="K27" s="4" t="str"/>
      <x:c r="L27" s="4" t="str"/>
      <x:c r="M27" s="4" t="str">
        <x:v>无田间抗性报道</x:v>
      </x:c>
      <x:c r="N27" s="4" t="str">
        <x:v>通常与其他杀菌剂混用进行预防性施药</x:v>
      </x:c>
      <x:c r="O27" s="4" t="str">
        <x:v>Hamlen RA, Power RJ. Communication to the Editor Distribution of Sensitivity Responses to Cymoxanil within Global Populations of Phytophthora infestans¤. Based on a poster presented at Resistance ’97 Conference, 1997.</x:v>
      </x:c>
      <x:c r="P27" s="4" t="str"/>
    </x:row>
    <x:row r="28" ht="54" customHeight="1">
      <x:c r="A28" s="4" t="str">
        <x:v>resveratrol</x:v>
      </x:c>
      <x:c r="B28" s="4" t="str">
        <x:v>Resveratrol</x:v>
      </x:c>
      <x:c r="C28" s="4" t="str">
        <x:v>苯丙素类（芪类）</x:v>
      </x:c>
      <x:c r="D28" s="4" t="str">
        <x:v>植物天然产物</x:v>
      </x:c>
      <x:c r="E28" s="4" t="str">
        <x:v>葡萄属植物（Vitis spp.）</x:v>
      </x:c>
      <x:c r="F28" s="4" t="str">
        <x:v>Phytophthora infestans</x:v>
      </x:c>
      <x:c r="G28" s="4" t="str">
        <x:v>转基因表达抗病性评价</x:v>
      </x:c>
      <x:c r="H28" s="4" t="str">
        <x:v>转STS基因番茄对P. infestans抗性提高</x:v>
      </x:c>
      <x:c r="I28" s="4" t="str">
        <x:v>未转基因对照</x:v>
      </x:c>
      <x:c r="J28" s="4" t="str">
        <x:v>作为植物自身产生的phytoalexin直接抑制病原菌</x:v>
      </x:c>
      <x:c r="K28" s="4" t="str">
        <x:v>离体接种试验</x:v>
      </x:c>
      <x:c r="L28" s="4" t="str"/>
      <x:c r="M28" s="4" t="str"/>
      <x:c r="N28" s="4" t="str"/>
      <x:c r="O28" s="4" t="str">
        <x:v>Jeandet et al., 2010, Biosynthesis, metabolism, molecular engineering, and biological functions of stilbene phytoalexins in plants, 10.1002/biof.108</x:v>
      </x:c>
      <x:c r="P28" s="4" t="str"/>
    </x:row>
    <x:row r="29" ht="54" customHeight="1">
      <x:c r="A29" s="4" t="str">
        <x:v>pterostilbene</x:v>
      </x:c>
      <x:c r="B29" s="4" t="str">
        <x:v>Pterostilbene</x:v>
      </x:c>
      <x:c r="C29" s="4" t="str">
        <x:v>苯丙素类（芪类）</x:v>
      </x:c>
      <x:c r="D29" s="4" t="str">
        <x:v>植物天然产物</x:v>
      </x:c>
      <x:c r="E29" s="4" t="str">
        <x:v>葡萄属植物中resveratrol的二甲基化衍生物</x:v>
      </x:c>
      <x:c r="F29" s="4" t="str">
        <x:v>Phytophthora infestans</x:v>
      </x:c>
      <x:c r="G29" s="4" t="str">
        <x:v>转基因表达抗病性评价</x:v>
      </x:c>
      <x:c r="H29" s="4" t="str">
        <x:v>转STS基因番茄对P. infestans抗性提高（文中提及pterostilbene为高活性衍生物）</x:v>
      </x:c>
      <x:c r="I29" s="4" t="str">
        <x:v>未转基因对照</x:v>
      </x:c>
      <x:c r="J29" s="4" t="str">
        <x:v>作为植物自身产生的phytoalexin直接抑制病原菌</x:v>
      </x:c>
      <x:c r="K29" s="4" t="str">
        <x:v>离体接种试验</x:v>
      </x:c>
      <x:c r="L29" s="4" t="str"/>
      <x:c r="M29" s="4" t="str"/>
      <x:c r="N29" s="4" t="str"/>
      <x:c r="O29" s="4" t="str">
        <x:v>Jeandet et al., 2010, Biosynthesis, metabolism, molecular engineering, and biological functions of stilbene phytoalexins in plants, 10.1002/biof.108</x:v>
      </x:c>
      <x:c r="P29" s="4" t="str"/>
    </x:row>
    <x:row r="30" ht="54" customHeight="1">
      <x:c r="A30" s="4" t="str">
        <x:v>e-viniferin</x:v>
      </x:c>
      <x:c r="B30" s="4" t="str">
        <x:v>ε-Viniferin</x:v>
      </x:c>
      <x:c r="C30" s="4" t="str">
        <x:v>苯丙素类（芪类寡聚体）</x:v>
      </x:c>
      <x:c r="D30" s="4" t="str">
        <x:v>植物天然产物</x:v>
      </x:c>
      <x:c r="E30" s="4" t="str">
        <x:v>葡萄属植物中resveratrol的环状脱氢二聚体</x:v>
      </x:c>
      <x:c r="F30" s="4" t="str">
        <x:v>Phytophthora infestans</x:v>
      </x:c>
      <x:c r="G30" s="4" t="str">
        <x:v>转基因表达抗病性评价</x:v>
      </x:c>
      <x:c r="H30" s="4" t="str">
        <x:v>转STS基因番茄对P. infestans抗性提高（文中指出e-viniferin为高毒性衍生物）</x:v>
      </x:c>
      <x:c r="I30" s="4" t="str">
        <x:v>未转基因对照</x:v>
      </x:c>
      <x:c r="J30" s="4" t="str">
        <x:v>作为植物自身产生的phytoalexin直接抑制病原菌</x:v>
      </x:c>
      <x:c r="K30" s="4" t="str">
        <x:v>离体接种试验</x:v>
      </x:c>
      <x:c r="L30" s="4" t="str"/>
      <x:c r="M30" s="4" t="str"/>
      <x:c r="N30" s="4" t="str"/>
      <x:c r="O30" s="4" t="str">
        <x:v>Jeandet et al., 2010, Biosynthesis, metabolism, molecular engineering, and biological functions of stilbene phytoalexins in plants, 10.1002/biof.108</x:v>
      </x:c>
      <x:c r="P30" s="4" t="str"/>
    </x:row>
    <x:row r="31" ht="54" customHeight="1">
      <x:c r="A31" s="4" t="str">
        <x:v>N,N,N-(dimethyl pentyl) chitosan (3)</x:v>
      </x:c>
      <x:c r="B31" s="4" t="str"/>
      <x:c r="C31" s="4" t="str">
        <x:v>多糖衍生物（季铵化壳聚糖）</x:v>
      </x:c>
      <x:c r="D31" s="4" t="str">
        <x:v>化学合成</x:v>
      </x:c>
      <x:c r="E31" s="4" t="str">
        <x:v>以戊醛为原料经还原胺化后与碘甲烷反应制得</x:v>
      </x:c>
      <x:c r="F31" s="4" t="str">
        <x:v>Pythium debaryanum</x:v>
      </x:c>
      <x:c r="G31" s="4" t="str">
        <x:v>菌丝生长抑制</x:v>
      </x:c>
      <x:c r="H31" s="4" t="str">
        <x:v>EC50 = 624 mg/L</x:v>
      </x:c>
      <x:c r="I31" s="4" t="str"/>
      <x:c r="J31" s="4" t="str">
        <x:v>铵基与微生物细胞表面阴离子基团相互作用，形成屏障阻止营养进入</x:v>
      </x:c>
      <x:c r="K31" s="4" t="str"/>
      <x:c r="L31" s="4" t="str"/>
      <x:c r="M31" s="4" t="str"/>
      <x:c r="N31" s="4" t="str"/>
      <x:c r="O31" s="4" t="str">
        <x:v>Mohamed E I Badawy, 2010, Structure and Antimicrobial Activity Relationship of Quaternary N-Alkyl Chitosan Derivatives Against Some Plant Pathogens, 10.1002/app.31492</x:v>
      </x:c>
      <x:c r="P31" s="4" t="str"/>
    </x:row>
    <x:row r="32" ht="54" customHeight="1">
      <x:c r="A32" s="4" t="str">
        <x:v>N,N,N-(dimethyl octyl) chitosan (6)</x:v>
      </x:c>
      <x:c r="B32" s="4" t="str"/>
      <x:c r="C32" s="4" t="str">
        <x:v>多糖衍生物（季铵化壳聚糖）</x:v>
      </x:c>
      <x:c r="D32" s="4" t="str">
        <x:v>化学合成</x:v>
      </x:c>
      <x:c r="E32" s="4" t="str">
        <x:v>以辛醛为原料经还原胺化后与碘甲烷反应制得</x:v>
      </x:c>
      <x:c r="F32" s="4" t="str">
        <x:v>Pythium debaryanum</x:v>
      </x:c>
      <x:c r="G32" s="4" t="str">
        <x:v>菌丝生长抑制</x:v>
      </x:c>
      <x:c r="H32" s="4" t="str">
        <x:v>EC50 = 440 mg/L</x:v>
      </x:c>
      <x:c r="I32" s="4" t="str"/>
      <x:c r="J32" s="4" t="str">
        <x:v>铵基与微生物细胞表面阴离子基团相互作用，形成屏障阻止营养进入</x:v>
      </x:c>
      <x:c r="K32" s="4" t="str"/>
      <x:c r="L32" s="4" t="str"/>
      <x:c r="M32" s="4" t="str"/>
      <x:c r="N32" s="4" t="str"/>
      <x:c r="O32" s="4" t="str">
        <x:v>Mohamed E I Badawy, 2010, Structure and Antimicrobial Activity Relationship of Quaternary N-Alkyl Chitosan Derivatives Against Some Plant Pathogens, 10.1002/app.31492</x:v>
      </x:c>
      <x:c r="P32" s="4" t="str"/>
    </x:row>
    <x:row r="33" ht="54" customHeight="1">
      <x:c r="A33" s="4" t="str">
        <x:v>N,N,N-(trimethyl) chitosan (1)</x:v>
      </x:c>
      <x:c r="B33" s="4" t="str"/>
      <x:c r="C33" s="4" t="str">
        <x:v>多糖衍生物（季铵化壳聚糖）</x:v>
      </x:c>
      <x:c r="D33" s="4" t="str">
        <x:v>化学合成</x:v>
      </x:c>
      <x:c r="E33" s="4" t="str">
        <x:v>壳聚糖与碘甲烷反应制得</x:v>
      </x:c>
      <x:c r="F33" s="4" t="str">
        <x:v>Pythium debaryanum</x:v>
      </x:c>
      <x:c r="G33" s="4" t="str">
        <x:v>菌丝生长抑制</x:v>
      </x:c>
      <x:c r="H33" s="4" t="str">
        <x:v>EC50 = 907 mg/L</x:v>
      </x:c>
      <x:c r="I33" s="4" t="str"/>
      <x:c r="J33" s="4" t="str">
        <x:v>铵基与微生物细胞表面阴离子基团相互作用，形成屏障阻止营养进入</x:v>
      </x:c>
      <x:c r="K33" s="4" t="str"/>
      <x:c r="L33" s="4" t="str"/>
      <x:c r="M33" s="4" t="str"/>
      <x:c r="N33" s="4" t="str"/>
      <x:c r="O33" s="4" t="str">
        <x:v>Mohamed E I Badawy, 2010, Structure and Antimicrobial Activity Relationship of Quaternary N-Alkyl Chitosan Derivatives Against Some Plant Pathogens, 10.1002/app.31492</x:v>
      </x:c>
      <x:c r="P33" s="4" t="str"/>
    </x:row>
    <x:row r="34" ht="54" customHeight="1">
      <x:c r="A34" s="4" t="str">
        <x:v>N,N,N-(dimethyl butyl) chitosan (2)</x:v>
      </x:c>
      <x:c r="B34" s="4" t="str"/>
      <x:c r="C34" s="4" t="str">
        <x:v>多糖衍生物（季铵化壳聚糖）</x:v>
      </x:c>
      <x:c r="D34" s="4" t="str">
        <x:v>化学合成</x:v>
      </x:c>
      <x:c r="E34" s="4" t="str">
        <x:v>以丁醛为原料经还原胺化后与碘甲烷反应制得</x:v>
      </x:c>
      <x:c r="F34" s="4" t="str">
        <x:v>Pythium debaryanum</x:v>
      </x:c>
      <x:c r="G34" s="4" t="str">
        <x:v>菌丝生长抑制</x:v>
      </x:c>
      <x:c r="H34" s="4" t="str">
        <x:v>EC50 = 1138 mg/L</x:v>
      </x:c>
      <x:c r="I34" s="4" t="str"/>
      <x:c r="J34" s="4" t="str">
        <x:v>铵基与微生物细胞表面阴离子基团相互作用，形成屏障阻止营养进入</x:v>
      </x:c>
      <x:c r="K34" s="4" t="str"/>
      <x:c r="L34" s="4" t="str"/>
      <x:c r="M34" s="4" t="str"/>
      <x:c r="N34" s="4" t="str"/>
      <x:c r="O34" s="4" t="str">
        <x:v>Mohamed E I Badawy, 2010, Structure and Antimicrobial Activity Relationship of Quaternary N-Alkyl Chitosan Derivatives Against Some Plant Pathogens, 10.1002/app.31492</x:v>
      </x:c>
      <x:c r="P34" s="4" t="str"/>
    </x:row>
    <x:row r="35" ht="54" customHeight="1">
      <x:c r="A35" s="4" t="str">
        <x:v>N,N,N-(dimethyl hexyl) chitosan (4)</x:v>
      </x:c>
      <x:c r="B35" s="4" t="str"/>
      <x:c r="C35" s="4" t="str">
        <x:v>多糖衍生物（季铵化壳聚糖）</x:v>
      </x:c>
      <x:c r="D35" s="4" t="str">
        <x:v>化学合成</x:v>
      </x:c>
      <x:c r="E35" s="4" t="str">
        <x:v>以己醛为原料经还原胺化后与碘甲烷反应制得</x:v>
      </x:c>
      <x:c r="F35" s="4" t="str">
        <x:v>Pythium debaryanum</x:v>
      </x:c>
      <x:c r="G35" s="4" t="str">
        <x:v>菌丝生长抑制</x:v>
      </x:c>
      <x:c r="H35" s="4" t="str">
        <x:v>EC50 = 696 mg/L</x:v>
      </x:c>
      <x:c r="I35" s="4" t="str"/>
      <x:c r="J35" s="4" t="str">
        <x:v>铵基与微生物细胞表面阴离子基团相互作用，形成屏障阻止营养进入</x:v>
      </x:c>
      <x:c r="K35" s="4" t="str"/>
      <x:c r="L35" s="4" t="str"/>
      <x:c r="M35" s="4" t="str"/>
      <x:c r="N35" s="4" t="str"/>
      <x:c r="O35" s="4" t="str">
        <x:v>Mohamed E I Badawy, 2010, Structure and Antimicrobial Activity Relationship of Quaternary N-Alkyl Chitosan Derivatives Against Some Plant Pathogens, 10.1002/app.31492</x:v>
      </x:c>
      <x:c r="P35" s="4" t="str"/>
    </x:row>
    <x:row r="36" ht="54" customHeight="1">
      <x:c r="A36" s="4" t="str">
        <x:v>N,N,N-(dimethyl heptyl) chitosan (5)</x:v>
      </x:c>
      <x:c r="B36" s="4" t="str"/>
      <x:c r="C36" s="4" t="str">
        <x:v>多糖衍生物（季铵化壳聚糖）</x:v>
      </x:c>
      <x:c r="D36" s="4" t="str">
        <x:v>化学合成</x:v>
      </x:c>
      <x:c r="E36" s="4" t="str">
        <x:v>以庚醛为原料经还原胺化后与碘甲烷反应制得</x:v>
      </x:c>
      <x:c r="F36" s="4" t="str">
        <x:v>Pythium debaryanum</x:v>
      </x:c>
      <x:c r="G36" s="4" t="str">
        <x:v>菌丝生长抑制</x:v>
      </x:c>
      <x:c r="H36" s="4" t="str">
        <x:v>EC50 = 1374 mg/L</x:v>
      </x:c>
      <x:c r="I36" s="4" t="str"/>
      <x:c r="J36" s="4" t="str">
        <x:v>铵基与微生物细胞表面阴离子基团相互作用，形成屏障阻止营养进入</x:v>
      </x:c>
      <x:c r="K36" s="4" t="str"/>
      <x:c r="L36" s="4" t="str"/>
      <x:c r="M36" s="4" t="str"/>
      <x:c r="N36" s="4" t="str"/>
      <x:c r="O36" s="4" t="str">
        <x:v>Mohamed E I Badawy, 2010, Structure and Antimicrobial Activity Relationship of Quaternary N-Alkyl Chitosan Derivatives Against Some Plant Pathogens, 10.1002/app.31492</x:v>
      </x:c>
      <x:c r="P36" s="4" t="str"/>
    </x:row>
    <x:row r="37" ht="54" customHeight="1">
      <x:c r="A37" s="4" t="str">
        <x:v>chitosan</x:v>
      </x:c>
      <x:c r="B37" s="4" t="str">
        <x:v>壳聚糖</x:v>
      </x:c>
      <x:c r="C37" s="4" t="str">
        <x:v>多糖</x:v>
      </x:c>
      <x:c r="D37" s="4" t="str">
        <x:v>植物天然产物</x:v>
      </x:c>
      <x:c r="E37" s="4" t="str">
        <x:v>低分子量壳聚糖（来源于蟹壳，脱乙酰度90%）</x:v>
      </x:c>
      <x:c r="F37" s="4" t="str">
        <x:v>Pythium debaryanum</x:v>
      </x:c>
      <x:c r="G37" s="4" t="str">
        <x:v>菌丝生长抑制</x:v>
      </x:c>
      <x:c r="H37" s="4" t="str">
        <x:v>EC50 &gt; 3000 mg/L</x:v>
      </x:c>
      <x:c r="I37" s="4" t="str"/>
      <x:c r="J37" s="4" t="str"/>
      <x:c r="K37" s="4" t="str"/>
      <x:c r="L37" s="4" t="str"/>
      <x:c r="M37" s="4" t="str"/>
      <x:c r="N37" s="4" t="str"/>
      <x:c r="O37" s="4" t="str">
        <x:v>Mohamed E I Badawy, 2010, Structure and Antimicrobial Activity Relationship of Quaternary N-Alkyl Chitosan Derivatives Against Some Plant Pathogens, 10.1002/app.31492</x:v>
      </x:c>
      <x:c r="P37" s="4" t="str"/>
    </x:row>
    <x:row r="38" ht="54" customHeight="1">
      <x:c r="A38" s="4" t="str">
        <x:v>Mo-CBP 3</x:v>
      </x:c>
      <x:c r="B38" s="4" t="str">
        <x:v>Moringa oleifera chitin-binding protein 3</x:v>
      </x:c>
      <x:c r="C38" s="4" t="str">
        <x:v>蛋白质（植物凝集素样）</x:v>
      </x:c>
      <x:c r="D38" s="4" t="str">
        <x:v>植物天然产物</x:v>
      </x:c>
      <x:c r="E38" s="4" t="str">
        <x:v>辣木（Moringa oleifera），种子</x:v>
      </x:c>
      <x:c r="F38" s="4" t="str">
        <x:v>Pythium oligandrum</x:v>
      </x:c>
      <x:c r="G38" s="4" t="str">
        <x:v>孢子萌发抑制</x:v>
      </x:c>
      <x:c r="H38" s="4" t="str">
        <x:v>无抑制活性（0.05 和 0.1 mg/mL 下不抑制孢子萌发）</x:v>
      </x:c>
      <x:c r="I38" s="4" t="str">
        <x:v>H₂O₂ (0.1M)</x:v>
      </x:c>
      <x:c r="J38" s="4" t="str">
        <x:v>无（因细胞壁不含几丁质）</x:v>
      </x:c>
      <x:c r="K38" s="4" t="str">
        <x:v>显微镜观察孢子萌发</x:v>
      </x:c>
      <x:c r="L38" s="4" t="str"/>
      <x:c r="M38" s="4" t="str"/>
      <x:c r="N38" s="4" t="str"/>
      <x:c r="O38" s="4" t="str">
        <x:v>Gifoni et al., 2012, A Novel Chitin-Binding Protein from Moringa oleifera Seed with Potential for Plant Disease Control, DOI:10.1002/bip.22068</x:v>
      </x:c>
      <x:c r="P38" s="4" t="str"/>
    </x:row>
    <x:row r="39" ht="54" customHeight="1">
      <x:c r="A39" s="4" t="str">
        <x:v>CGA 245704</x:v>
      </x:c>
      <x:c r="B39" s="4" t="str">
        <x:v>S-methyl benzo[1,2,3]thiadiazole-7-carbothioate</x:v>
      </x:c>
      <x:c r="C39" s="4" t="str">
        <x:v>杂环化合物（苯并噻二唑类）</x:v>
      </x:c>
      <x:c r="D39" s="4" t="str">
        <x:v>化学合成</x:v>
      </x:c>
      <x:c r="E39" s="4" t="str">
        <x:v>Ciba-Geigy公司开发的合成植物防御激活剂</x:v>
      </x:c>
      <x:c r="F39" s="4" t="str">
        <x:v>Peronospora parasitica</x:v>
      </x:c>
      <x:c r="G39" s="4" t="str">
        <x:v>离体叶片接种（孢子接种后评估孢子形成强度）</x:v>
      </x:c>
      <x:c r="H39" s="4" t="str">
        <x:v>所有浓度（10–50 mg/L）均显著降低孢子形成强度（P&lt;0.001），I+D处理平均强度1.31，I处理1.68</x:v>
      </x:c>
      <x:c r="I39" s="4" t="str">
        <x:v>未使用阳性对照药剂</x:v>
      </x:c>
      <x:c r="J39" s="4" t="str">
        <x:v>激活系统获得抗性（SAR）</x:v>
      </x:c>
      <x:c r="K39" s="4" t="str">
        <x:v>未进行靶标验证</x:v>
      </x:c>
      <x:c r="L39" s="4" t="str">
        <x:v>未测试</x:v>
      </x:c>
      <x:c r="M39" s="4" t="str">
        <x:v>与苯酰胺类杀菌剂无交叉抗性（文中提及该路径可应对已对苯酰胺产生抗性的菌株）</x:v>
      </x:c>
      <x:c r="N39" s="4" t="str">
        <x:v>未测试</x:v>
      </x:c>
      <x:c r="O39" s="4" t="str">
        <x:v>Brita D Jensen et al., Protection of Brassica Seedlings against Downy Mildew and Damping-off by Seed Treatment with CGA 245704, an Activator of Systemic Acquired Resistance, ,</x:v>
      </x:c>
      <x:c r="P39" s="4" t="str"/>
    </x:row>
    <x:row r="40" ht="54" customHeight="1">
      <x:c r="A40" s="4" t="str">
        <x:v>compound 1a</x:v>
      </x:c>
      <x:c r="B40" s="4" t="str">
        <x:v>(E)-Methyl 2-(2-(6-(2-cyanophenoxy)-2-methylpyrimidin-4-yloxy)phenyl)-3-methoxyacrylate</x:v>
      </x:c>
      <x:c r="C40" s="4" t="str">
        <x:v>β-甲氧基丙烯酸酯类（含嘧啶环）</x:v>
      </x:c>
      <x:c r="D40" s="4" t="str">
        <x:v>化学合成</x:v>
      </x:c>
      <x:c r="E40" s="4" t="str">
        <x:v>以2-(2-羟苯基)乙酸和三甲基原甲酸酯为起始原料，经多步反应合成，关键中间体为3-(methoxymethylene)-2(3H)-benzofuranone</x:v>
      </x:c>
      <x:c r="F40" s="4" t="str">
        <x:v>Phytophthora capsici Leonian</x:v>
      </x:c>
      <x:c r="G40" s="4" t="str">
        <x:v>菌丝生长抑制</x:v>
      </x:c>
      <x:c r="H40" s="4" t="str">
        <x:v>IC50 = 9.9 µg/mL</x:v>
      </x:c>
      <x:c r="I40" s="4" t="str">
        <x:v>azoxystrobin</x:v>
      </x:c>
      <x:c r="J40" s="4" t="str">
        <x:v>抑制线粒体细胞色素b/c1间电子传递（Qo位点抑制剂）</x:v>
      </x:c>
      <x:c r="K40" s="4" t="str">
        <x:v>未明确说明（基于strobilurin类通用机制推断）</x:v>
      </x:c>
      <x:c r="L40" s="4" t="str">
        <x:v>未提及</x:v>
      </x:c>
      <x:c r="M40" s="4" t="str">
        <x:v>未提及</x:v>
      </x:c>
      <x:c r="N40" s="4" t="str">
        <x:v>未提及</x:v>
      </x:c>
      <x:c r="O40" s="4" t="str">
        <x:v>Zhang Xiang, Liu Huijun, Gao Yongxin, Wang Huili, Guo Baoyuan, Li Jianzhong. Synthesis and Antifungal Activities of New Type β-Methoxyacrylate-Based Strobilurin Analogues. Chinese Journal of Chemistry, 2012, DOI: 10.1002/cjoc.201200101</x:v>
      </x:c>
      <x:c r="P40" s="4" t="str"/>
    </x:row>
    <x:row r="41" ht="54" customHeight="1">
      <x:c r="A41" s="4" t="str">
        <x:v>compound 1h</x:v>
      </x:c>
      <x:c r="B41" s="4" t="str">
        <x:v>(E)-methyl 2-(2-(2-(4-chlorophenyl)-6-(2-cyanophenoxy)pyrimidin-4-yloxy)phenyl)-3-methoxyacrylate</x:v>
      </x:c>
      <x:c r="C41" s="4" t="str">
        <x:v>β-甲氧基丙烯酸酯类（含嘧啶环）</x:v>
      </x:c>
      <x:c r="D41" s="4" t="str">
        <x:v>化学合成</x:v>
      </x:c>
      <x:c r="E41" s="4" t="str">
        <x:v>参考该文献通式合成法，关键中间体为4,6-dichloro-2-(4-chlorophenyl)pyrimidine</x:v>
      </x:c>
      <x:c r="F41" s="4" t="str">
        <x:v>Phytophthora capsici Leonian</x:v>
      </x:c>
      <x:c r="G41" s="4" t="str">
        <x:v>菌丝生长抑制</x:v>
      </x:c>
      <x:c r="H41" s="4" t="str">
        <x:v>22% 抑制率（50 µg/mL）</x:v>
      </x:c>
      <x:c r="I41" s="4" t="str">
        <x:v>azoxystrobin</x:v>
      </x:c>
      <x:c r="J41" s="4" t="str">
        <x:v>抑制线粒体细胞色素b/c1间电子传递（Qo位点抑制剂）</x:v>
      </x:c>
      <x:c r="K41" s="4" t="str">
        <x:v>未明确说明（基于strobilurin类通用机制推断）</x:v>
      </x:c>
      <x:c r="L41" s="4" t="str">
        <x:v>未提及</x:v>
      </x:c>
      <x:c r="M41" s="4" t="str">
        <x:v>未提及</x:v>
      </x:c>
      <x:c r="N41" s="4" t="str">
        <x:v>未提及</x:v>
      </x:c>
      <x:c r="O41" s="4" t="str">
        <x:v>Zhang Xiang, Liu Huijun, Gao Yongxin, Wang Huili, Guo Baoyuan, Li Jianzhong. Synthesis and Antifungal Activities of New Type β-Methoxyacrylate-Based Strobilurin Analogues. Chinese Journal of Chemistry, 2012, DOI: 10.1002/cjoc.201200101</x:v>
      </x:c>
      <x:c r="P41" s="4" t="str"/>
    </x:row>
    <x:row r="42" ht="54" customHeight="1">
      <x:c r="A42" s="4" t="str">
        <x:v>compound 7h</x:v>
      </x:c>
      <x:c r="B42" s="4" t="str">
        <x:v>(E)-5-[1-(4-Methyl-2-oxo-1-oxaspiro[4,5]dec-3-en-3-yl)ethylidene]-2-(4-methoxyphenyl)amino-3,5-dihydro-4H-imidazol-4-one</x:v>
      </x:c>
      <x:c r="C42" s="4" t="str">
        <x:v>杂环化合物（含螺环和咪唑啉酮）</x:v>
      </x:c>
      <x:c r="D42" s="4" t="str">
        <x:v>化学合成</x:v>
      </x:c>
      <x:c r="E42" s="4" t="str">
        <x:v>以α-羟基酮和双酮烯为原料，经四步反应合成；关键中间体为4c，与对甲氧基苯胺缩合</x:v>
      </x:c>
      <x:c r="F42" s="4" t="str">
        <x:v>Phytophthora capsici</x:v>
      </x:c>
      <x:c r="G42" s="4" t="str">
        <x:v>菌丝生长抑制</x:v>
      </x:c>
      <x:c r="H42" s="4" t="str">
        <x:v>EC50 = 6.50 μg/mL</x:v>
      </x:c>
      <x:c r="I42" s="4" t="str">
        <x:v>carbendazim (EC50=77.80 μg/mL), fenamidone (EC50=9.32 μg/mL)</x:v>
      </x:c>
      <x:c r="J42" s="4" t="str">
        <x:v>破坏菌丝细胞壁结构和功能</x:v>
      </x:c>
      <x:c r="K42" s="4" t="str">
        <x:v>SEM、TEM观察</x:v>
      </x:c>
      <x:c r="L42" s="4" t="str"/>
      <x:c r="M42" s="4" t="str"/>
      <x:c r="N42" s="4" t="str"/>
      <x:c r="O42" s="4" t="str">
        <x:v>Bo Tang et al., 2017, Chinese Journal of Chemistry, 10.1002/cjoc.201600794</x:v>
      </x:c>
      <x:c r="P42" s="4" t="str"/>
    </x:row>
    <x:row r="43" ht="54" customHeight="1">
      <x:c r="A43" s="4" t="str">
        <x:v>compound 7h</x:v>
      </x:c>
      <x:c r="B43" s="4" t="str">
        <x:v>(E)-5-[1-(4-Methyl-2-oxo-1-oxaspiro[4,5]dec-3-en-3-yl)ethylidene]-2-(4-methoxyphenyl)amino-3,5-dihydro-4H-imidazol-4-one</x:v>
      </x:c>
      <x:c r="C43" s="4" t="str">
        <x:v>杂环化合物（含螺环和咪唑啉酮）</x:v>
      </x:c>
      <x:c r="D43" s="4" t="str">
        <x:v>化学合成</x:v>
      </x:c>
      <x:c r="E43" s="4" t="str">
        <x:v>以α-羟基酮和双酮烯为原料，经四步反应合成；关键中间体为4c，与对甲氧基苯胺缩合</x:v>
      </x:c>
      <x:c r="F43" s="4" t="str">
        <x:v>Phytophthora capsici</x:v>
      </x:c>
      <x:c r="G43" s="4" t="str">
        <x:v>孢子萌发抑制</x:v>
      </x:c>
      <x:c r="H43" s="4" t="str">
        <x:v>50 μg/mL 强烈抑制孢子萌发</x:v>
      </x:c>
      <x:c r="I43" s="4" t="str">
        <x:v>未提及</x:v>
      </x:c>
      <x:c r="J43" s="4" t="str"/>
      <x:c r="K43" s="4" t="str"/>
      <x:c r="L43" s="4" t="str"/>
      <x:c r="M43" s="4" t="str"/>
      <x:c r="N43" s="4" t="str"/>
      <x:c r="O43" s="4" t="str">
        <x:v>Bo Tang et al., 2017, Chinese Journal of Chemistry, 10.1002/cjoc.201600794</x:v>
      </x:c>
      <x:c r="P43" s="4" t="str"/>
    </x:row>
    <x:row r="44" ht="54" customHeight="1">
      <x:c r="A44" s="4" t="str">
        <x:v>intermediate 3b</x:v>
      </x:c>
      <x:c r="B44" s="4" t="str">
        <x:v>(E)-5-[1-(2-Oxo-1-oxaspiro[4,5]non-3-en-3-yl)ethylidene]-2-thiohydantoin</x:v>
      </x:c>
      <x:c r="C44" s="4" t="str">
        <x:v>杂环化合物（含螺环和噻唑烷二酮）</x:v>
      </x:c>
      <x:c r="D44" s="4" t="str">
        <x:v>化学合成</x:v>
      </x:c>
      <x:c r="E44" s="4" t="str">
        <x:v>由环酮与乙烯基乙醚反应得α-羟基酮，再与双酮烯反应得2b，再与硫代乙内酰脲缩合</x:v>
      </x:c>
      <x:c r="F44" s="4" t="str">
        <x:v>Phytophthora capsici</x:v>
      </x:c>
      <x:c r="G44" s="4" t="str">
        <x:v>菌丝生长抑制</x:v>
      </x:c>
      <x:c r="H44" s="4" t="str">
        <x:v>EC50 = 2.45 μg/mL；50 μg/mL 抑制率96.4%</x:v>
      </x:c>
      <x:c r="I44" s="4" t="str">
        <x:v>carbendazim, fenamidone</x:v>
      </x:c>
      <x:c r="J44" s="4" t="str"/>
      <x:c r="K44" s="4" t="str"/>
      <x:c r="L44" s="4" t="str"/>
      <x:c r="M44" s="4" t="str"/>
      <x:c r="N44" s="4" t="str"/>
      <x:c r="O44" s="4" t="str">
        <x:v>Bo Tang et al., 2017, Chinese Journal of Chemistry, 10.1002/cjoc.201600794</x:v>
      </x:c>
      <x:c r="P44" s="4" t="str"/>
    </x:row>
    <x:row r="45" ht="54" customHeight="1">
      <x:c r="A45" s="4" t="str">
        <x:v>intermediate 3c</x:v>
      </x:c>
      <x:c r="B45" s="4" t="str">
        <x:v>(E)-5-[1-(2-Oxo-1-oxaspiro[4,4]non-3-en-3-yl)ethylidene]-2-thiohydantoin</x:v>
      </x:c>
      <x:c r="C45" s="4" t="str">
        <x:v>杂环化合物（含螺环和噻唑烷二酮）</x:v>
      </x:c>
      <x:c r="D45" s="4" t="str">
        <x:v>化学合成</x:v>
      </x:c>
      <x:c r="E45" s="4" t="str">
        <x:v>类似3b合成路线，起始环酮不同</x:v>
      </x:c>
      <x:c r="F45" s="4" t="str">
        <x:v>Phytophthora capsici</x:v>
      </x:c>
      <x:c r="G45" s="4" t="str">
        <x:v>菌丝生长抑制</x:v>
      </x:c>
      <x:c r="H45" s="4" t="str">
        <x:v>EC50 = 7.42 μg/mL；50 μg/mL 抑制率92.5%</x:v>
      </x:c>
      <x:c r="I45" s="4" t="str">
        <x:v>carbendazim, fenamidone</x:v>
      </x:c>
      <x:c r="J45" s="4" t="str"/>
      <x:c r="K45" s="4" t="str"/>
      <x:c r="L45" s="4" t="str"/>
      <x:c r="M45" s="4" t="str"/>
      <x:c r="N45" s="4" t="str"/>
      <x:c r="O45" s="4" t="str">
        <x:v>Bo Tang et al., 2017, Chinese Journal of Chemistry, 10.1002/cjoc.201600794</x:v>
      </x:c>
      <x:c r="P45" s="4" t="str"/>
    </x:row>
    <x:row r="46" ht="54" customHeight="1">
      <x:c r="A46" s="4" t="str">
        <x:v>intermediate 4c</x:v>
      </x:c>
      <x:c r="B46" s="4" t="str">
        <x:v>(E)-5-[1-(2-Oxo-1-oxaspiro[4,4]non-3-en-3-yl)ethylidene]-2-methylthiohydantoin</x:v>
      </x:c>
      <x:c r="C46" s="4" t="str">
        <x:v>杂环化合物（含螺环和甲基化噻唑烷二酮）</x:v>
      </x:c>
      <x:c r="D46" s="4" t="str">
        <x:v>化学合成</x:v>
      </x:c>
      <x:c r="E46" s="4" t="str">
        <x:v>3c经碘甲烷甲基化得到</x:v>
      </x:c>
      <x:c r="F46" s="4" t="str">
        <x:v>Phytophthora capsici</x:v>
      </x:c>
      <x:c r="G46" s="4" t="str">
        <x:v>菌丝生长抑制</x:v>
      </x:c>
      <x:c r="H46" s="4" t="str">
        <x:v>EC50 = 4.82 μg/mL；50 μg/mL 抑制率90.3%</x:v>
      </x:c>
      <x:c r="I46" s="4" t="str">
        <x:v>carbendazim, fenamidone</x:v>
      </x:c>
      <x:c r="J46" s="4" t="str"/>
      <x:c r="K46" s="4" t="str"/>
      <x:c r="L46" s="4" t="str"/>
      <x:c r="M46" s="4" t="str"/>
      <x:c r="N46" s="4" t="str"/>
      <x:c r="O46" s="4" t="str">
        <x:v>Bo Tang et al., 2017, Chinese Journal of Chemistry, 10.1002/cjoc.201600794</x:v>
      </x:c>
      <x:c r="P46" s="4" t="str"/>
    </x:row>
    <x:row r="47" ht="54" customHeight="1">
      <x:c r="A47" s="4" t="str">
        <x:v>famoxadone</x:v>
      </x:c>
      <x:c r="B47" s="4" t="str">
        <x:v>Famoxadone (3-anilino-5-methyl-5-(4-phenoxyphenyl)-1,3-oxazolidine-2,4-dione)</x:v>
      </x:c>
      <x:c r="C47" s="4" t="str">
        <x:v>杂环类（噁唑烷二酮）</x:v>
      </x:c>
      <x:c r="D47" s="4" t="str">
        <x:v>商品化</x:v>
      </x:c>
      <x:c r="E47" s="4" t="str">
        <x:v>DuPont de Nemours (France) SA; famoxadone 500 g kg⁻¹ water-dispersible granule formulation (WG)</x:v>
      </x:c>
      <x:c r="F47" s="4" t="str">
        <x:v>Plasmopara viticola</x:v>
      </x:c>
      <x:c r="G47" s="4" t="str">
        <x:v>孢子萌发抑制</x:v>
      </x:c>
      <x:c r="H47" s="4" t="str">
        <x:v>30 s exposure: 88% inhibition of zoospore release; 2 min: 98.3%; ≥5 min: 100% inhibition</x:v>
      </x:c>
      <x:c r="I47" s="4" t="str">
        <x:v>Untreated control: 100% zoospore release</x:v>
      </x:c>
      <x:c r="J47" s="4" t="str">
        <x:v>Inhibits mitochondrial electron transport via ubiquinone:cytochrome c oxidoreductase (cytochrome bc₁)</x:v>
      </x:c>
      <x:c r="K47" s="4" t="str">
        <x:v>In vitro sporangia and zoospore assays</x:v>
      </x:c>
      <x:c r="L47" s="4" t="str"/>
      <x:c r="M47" s="4" t="str"/>
      <x:c r="N47" s="4" t="str">
        <x:v>与cymoxanil复配使用，防效稳定（rainfastness不受降雨量或施药后降雨时间影响）</x:v>
      </x:c>
      <x:c r="O47" s="4" t="str">
        <x:v>Andrieu N et al., Behaviour of famoxadone deposits on grape leaves</x:v>
      </x:c>
      <x:c r="P47" s="4" t="str"/>
    </x:row>
    <x:row r="48" ht="54" customHeight="1">
      <x:c r="A48" s="4" t="str">
        <x:v>famoxadone</x:v>
      </x:c>
      <x:c r="B48" s="4" t="str">
        <x:v>Famoxadone (3-anilino-5-methyl-5-(4-phenoxyphenyl)-1,3-oxazolidine-2,4-dione)</x:v>
      </x:c>
      <x:c r="C48" s="4" t="str">
        <x:v>杂环类（噁唑烷二酮）</x:v>
      </x:c>
      <x:c r="D48" s="4" t="str">
        <x:v>商品化</x:v>
      </x:c>
      <x:c r="E48" s="4" t="str">
        <x:v>DuPont de Nemours (France) SA; famoxadone 500 g kg⁻¹ WG</x:v>
      </x:c>
      <x:c r="F48" s="4" t="str">
        <x:v>Plasmopara viticola</x:v>
      </x:c>
      <x:c r="G48" s="4" t="str">
        <x:v>离体叶片接种（人工接种+保湿培养）</x:v>
      </x:c>
      <x:c r="H48" s="4" t="str">
        <x:v>Field rate: ~100% disease control after 30 mm rain at 24 h; 1/4 rate: similar high efficacy</x:v>
      </x:c>
      <x:c r="I48" s="4" t="str">
        <x:v>Mancozeb (750 g kg⁻¹ WG): 68% loss in efficacy at full rate, 83% at reduced rate after 30 mm rain</x:v>
      </x:c>
      <x:c r="J48" s="4" t="str">
        <x:v>Inhibits mitochondrial electron transport via ubiquinone:cytochrome c oxidoreductase (cytochrome bc₁)</x:v>
      </x:c>
      <x:c r="K48" s="4" t="str">
        <x:v>Greenhouse and field efficacy trials</x:v>
      </x:c>
      <x:c r="L48" s="4" t="str"/>
      <x:c r="M48" s="4" t="str"/>
      <x:c r="N48" s="4" t="str">
        <x:v>与cymoxanil复配显著提升耐雨性，优于mancozeb</x:v>
      </x:c>
      <x:c r="O48" s="4" t="str">
        <x:v>Andrieu N et al., Behaviour of famoxadone deposits on grape leaves</x:v>
      </x:c>
      <x:c r="P48" s="4" t="str"/>
    </x:row>
    <x:row r="49" ht="54" customHeight="1">
      <x:c r="A49" s="4" t="str">
        <x:v>famoxadone + cymoxanil</x:v>
      </x:c>
      <x:c r="B49" s="4" t="str">
        <x:v>Famoxadone + Cymoxanil</x:v>
      </x:c>
      <x:c r="C49" s="4" t="str">
        <x:v>杂环类混合物</x:v>
      </x:c>
      <x:c r="D49" s="4" t="str">
        <x:v>商品化</x:v>
      </x:c>
      <x:c r="E49" s="4" t="str">
        <x:v>Famoxadone cymoxanil (225+300 g kg⁻¹ WG)</x:v>
      </x:c>
      <x:c r="F49" s="4" t="str">
        <x:v>Plasmopara viticola</x:v>
      </x:c>
      <x:c r="G49" s="4" t="str">
        <x:v>离体叶片接种（人工接种+保湿培养）</x:v>
      </x:c>
      <x:c r="H49" s="4" t="str">
        <x:v>~100% disease control regardless of rain amount (10–50 mm) or time (2–24 h after application)</x:v>
      </x:c>
      <x:c r="I49" s="4" t="str">
        <x:v>Mancozeb: efficacy greatly reduced by ≥10 mm rain</x:v>
      </x:c>
      <x:c r="J49" s="4" t="str">
        <x:v>Famoxadone: cytochrome bc₁ inhibitor; Cymoxanil: rapid penetration into plant tissue</x:v>
      </x:c>
      <x:c r="K49" s="4" t="str">
        <x:v>Biological efficacy comparison under simulated rain</x:v>
      </x:c>
      <x:c r="L49" s="4" t="str"/>
      <x:c r="M49" s="4" t="str"/>
      <x:c r="N49" s="4" t="str">
        <x:v>明确复配协同：famoxadone提供耐雨性和表面储库，cymoxanil快速内吸增强整体防效</x:v>
      </x:c>
      <x:c r="O49" s="4" t="str">
        <x:v>Andrieu N et al., Behaviour of famoxadone deposits on grape leaves</x:v>
      </x:c>
      <x:c r="P49" s="4" t="str"/>
    </x:row>
    <x:row r="50" ht="54" customHeight="1">
      <x:c r="A50" s="4" t="str">
        <x:v>N-(3-Chlorophenyl)-4-phenyl-3-(4-phenoxyphenyl)butanamide (3b)</x:v>
      </x:c>
      <x:c r="B50" s="4" t="str">
        <x:v>N-(3-氯苯基)-4-苯基-3-(4-苯氧基苯基)丁酰胺</x:v>
      </x:c>
      <x:c r="C50" s="4" t="str">
        <x:v>酰胺类（芳基取代丁酰胺）</x:v>
      </x:c>
      <x:c r="D50" s="4" t="str">
        <x:v>化学合成</x:v>
      </x:c>
      <x:c r="E50" s="4" t="str">
        <x:v>以4-苯基-3-(4-苯氧基苯基)丁酰氯与间氯苯胺在无水二氯甲烷中反应制得</x:v>
      </x:c>
      <x:c r="F50" s="4" t="str">
        <x:v>Phytophthora infestans</x:v>
      </x:c>
      <x:c r="G50" s="4" t="str">
        <x:v>离体叶片接种（番茄晚疫病，250 mg/L喷雾处理）</x:v>
      </x:c>
      <x:c r="H50" s="4" t="str">
        <x:v>250 mg/L 防效33%</x:v>
      </x:c>
      <x:c r="I50" s="4" t="str">
        <x:v>Moncozeb（10 mg/L，防效83%）</x:v>
      </x:c>
      <x:c r="J50" s="4" t="str">
        <x:v>未提及</x:v>
      </x:c>
      <x:c r="K50" s="4" t="str">
        <x:v>未提及</x:v>
      </x:c>
      <x:c r="L50" s="4" t="str">
        <x:v>未提及</x:v>
      </x:c>
      <x:c r="M50" s="4" t="str">
        <x:v>未提及</x:v>
      </x:c>
      <x:c r="N50" s="4" t="str">
        <x:v>未提及</x:v>
      </x:c>
      <x:c r="O50" s="4" t="str">
        <x:v>So Ha Lee et al., Synthesis and Antifungal Activities of N-Aryl-4-phenyl-3-(4-phenoxyphenyl)butanamides, DOI not available</x:v>
      </x:c>
      <x:c r="P50" s="4" t="str"/>
    </x:row>
    <x:row r="51" ht="54" customHeight="1">
      <x:c r="A51" s="4" t="str">
        <x:v>N-(4-Trifluoromethylphenyl)-4-phenyl-3-(4-phenoxyphenyl)butanamide (3k)</x:v>
      </x:c>
      <x:c r="B51" s="4" t="str">
        <x:v>N-(4-三氟甲基苯基)-4-苯基-3-(4-苯氧基苯基)丁酰胺</x:v>
      </x:c>
      <x:c r="C51" s="4" t="str">
        <x:v>酰胺类（芳基取代丁酰胺）</x:v>
      </x:c>
      <x:c r="D51" s="4" t="str">
        <x:v>化学合成</x:v>
      </x:c>
      <x:c r="E51" s="4" t="str">
        <x:v>以4-苯基-3-(4-苯氧基苯基)丁酰氯与对三氟甲基苯胺反应制得</x:v>
      </x:c>
      <x:c r="F51" s="4" t="str">
        <x:v>Phytophthora infestans</x:v>
      </x:c>
      <x:c r="G51" s="4" t="str">
        <x:v>离体叶片接种（番茄晚疫病，250 mg/L喷雾处理）</x:v>
      </x:c>
      <x:c r="H51" s="4" t="str">
        <x:v>250 mg/L 防效4%</x:v>
      </x:c>
      <x:c r="I51" s="4" t="str">
        <x:v>Moncozeb（10 mg/L，防效83%）</x:v>
      </x:c>
      <x:c r="J51" s="4" t="str">
        <x:v>未提及</x:v>
      </x:c>
      <x:c r="K51" s="4" t="str">
        <x:v>未提及</x:v>
      </x:c>
      <x:c r="L51" s="4" t="str">
        <x:v>未提及</x:v>
      </x:c>
      <x:c r="M51" s="4" t="str">
        <x:v>未提及</x:v>
      </x:c>
      <x:c r="N51" s="4" t="str">
        <x:v>未提及</x:v>
      </x:c>
      <x:c r="O51" s="4" t="str">
        <x:v>So Ha Lee et al., Synthesis and Antifungal Activities of N-Aryl-4-phenyl-3-(4-phenoxyphenyl)butanamides, DOI not available</x:v>
      </x:c>
      <x:c r="P51" s="4" t="str"/>
    </x:row>
    <x:row r="52" ht="54" customHeight="1">
      <x:c r="A52" s="4" t="str">
        <x:v>4-Phenyl-3-(4-phenoxyphenyl)butanamide (2)</x:v>
      </x:c>
      <x:c r="B52" s="4" t="str">
        <x:v>4-苯基-3-(4-苯氧基苯基)丁酰胺</x:v>
      </x:c>
      <x:c r="C52" s="4" t="str">
        <x:v>酰胺类（芳基取代丁酰胺）</x:v>
      </x:c>
      <x:c r="D52" s="4" t="str">
        <x:v>化学合成</x:v>
      </x:c>
      <x:c r="E52" s="4" t="str">
        <x:v>文献[6,7]方法合成，经Friedel-Crafts酰化、Reformatsky反应及脱羟基、水解、酰氯化后氨解制得</x:v>
      </x:c>
      <x:c r="F52" s="4" t="str">
        <x:v>Phytophthora infestans</x:v>
      </x:c>
      <x:c r="G52" s="4" t="str">
        <x:v>离体叶片接种（番茄晚疫病，250 mg/L喷雾处理）</x:v>
      </x:c>
      <x:c r="H52" s="4" t="str">
        <x:v>250 mg/L 防效3%</x:v>
      </x:c>
      <x:c r="I52" s="4" t="str">
        <x:v>Moncozeb（10 mg/L，防效83%）</x:v>
      </x:c>
      <x:c r="J52" s="4" t="str">
        <x:v>未提及</x:v>
      </x:c>
      <x:c r="K52" s="4" t="str">
        <x:v>未提及</x:v>
      </x:c>
      <x:c r="L52" s="4" t="str">
        <x:v>未提及</x:v>
      </x:c>
      <x:c r="M52" s="4" t="str">
        <x:v>未提及</x:v>
      </x:c>
      <x:c r="N52" s="4" t="str">
        <x:v>未提及</x:v>
      </x:c>
      <x:c r="O52" s="4" t="str">
        <x:v>So Ha Lee et al., Synthesis and Antifungal Activities of N-Aryl-4-phenyl-3-(4-phenoxyphenyl)butanamides, DOI not available</x:v>
      </x:c>
      <x:c r="P52" s="4" t="str"/>
    </x:row>
    <x:row r="53" ht="54" customHeight="1">
      <x:c r="A53" s="4" t="str">
        <x:v>N-(2-Chlorophenyl)-4-phenyl-3-(4-phenoxyphenyl)butanamide (3a)</x:v>
      </x:c>
      <x:c r="B53" s="4" t="str">
        <x:v>N-(2-氯苯基)-4-苯基-3-(4-苯氧基苯基)丁酰胺</x:v>
      </x:c>
      <x:c r="C53" s="4" t="str">
        <x:v>酰胺类（芳基取代丁酰胺）</x:v>
      </x:c>
      <x:c r="D53" s="4" t="str">
        <x:v>化学合成</x:v>
      </x:c>
      <x:c r="E53" s="4" t="str">
        <x:v>以4-苯基-3-(4-苯氧基苯基)丁酰氯与邻氯苯胺在0°C下滴加反应制得</x:v>
      </x:c>
      <x:c r="F53" s="4" t="str">
        <x:v>Phytophthora infestans</x:v>
      </x:c>
      <x:c r="G53" s="4" t="str">
        <x:v>离体叶片接种（番茄晚疫病，250 mg/L喷雾处理）</x:v>
      </x:c>
      <x:c r="H53" s="4" t="str">
        <x:v>250 mg/L 防效8%</x:v>
      </x:c>
      <x:c r="I53" s="4" t="str">
        <x:v>Moncozeb（10 mg/L，防效83%）</x:v>
      </x:c>
      <x:c r="J53" s="4" t="str">
        <x:v>未提及</x:v>
      </x:c>
      <x:c r="K53" s="4" t="str">
        <x:v>未提及</x:v>
      </x:c>
      <x:c r="L53" s="4" t="str">
        <x:v>未提及</x:v>
      </x:c>
      <x:c r="M53" s="4" t="str">
        <x:v>未提及</x:v>
      </x:c>
      <x:c r="N53" s="4" t="str">
        <x:v>未提及</x:v>
      </x:c>
      <x:c r="O53" s="4" t="str">
        <x:v>So Ha Lee et al., Synthesis and Antifungal Activities of N-Aryl-4-phenyl-3-(4-phenoxyphenyl)butanamides, DOI not available</x:v>
      </x:c>
      <x:c r="P53" s="4" t="str"/>
    </x:row>
    <x:row r="54" ht="54" customHeight="1">
      <x:c r="A54" s="4" t="str">
        <x:v>N-(4-Chlorophenyl)-4-phenyl-3-(4-phenoxyphenyl)butanamide (3c)</x:v>
      </x:c>
      <x:c r="B54" s="4" t="str">
        <x:v>N-(4-氯苯基)-4-苯基-3-(4-苯氧基苯基)丁酰胺</x:v>
      </x:c>
      <x:c r="C54" s="4" t="str">
        <x:v>酰胺类（芳基取代丁酰胺）</x:v>
      </x:c>
      <x:c r="D54" s="4" t="str">
        <x:v>化学合成</x:v>
      </x:c>
      <x:c r="E54" s="4" t="str">
        <x:v>以4-苯基-3-(4-苯氧基苯基)丁酰氯与对氯苯胺反应制得</x:v>
      </x:c>
      <x:c r="F54" s="4" t="str">
        <x:v>Phytophthora infestans</x:v>
      </x:c>
      <x:c r="G54" s="4" t="str">
        <x:v>离体叶片接种（番茄晚疫病，250 mg/L喷雾处理）</x:v>
      </x:c>
      <x:c r="H54" s="4" t="str">
        <x:v>250 mg/L 防效5%</x:v>
      </x:c>
      <x:c r="I54" s="4" t="str">
        <x:v>Moncozeb（10 mg/L，防效83%）</x:v>
      </x:c>
      <x:c r="J54" s="4" t="str">
        <x:v>未提及</x:v>
      </x:c>
      <x:c r="K54" s="4" t="str">
        <x:v>未提及</x:v>
      </x:c>
      <x:c r="L54" s="4" t="str">
        <x:v>未提及</x:v>
      </x:c>
      <x:c r="M54" s="4" t="str">
        <x:v>未提及</x:v>
      </x:c>
      <x:c r="N54" s="4" t="str">
        <x:v>未提及</x:v>
      </x:c>
      <x:c r="O54" s="4" t="str">
        <x:v>So Ha Lee et al., Synthesis and Antifungal Activities of N-Aryl-4-phenyl-3-(4-phenoxyphenyl)butanamides, DOI not available</x:v>
      </x:c>
      <x:c r="P54" s="4" t="str"/>
    </x:row>
    <x:row r="55" ht="54" customHeight="1">
      <x:c r="A55" s="4" t="str">
        <x:v>apricot seed biochar</x:v>
      </x:c>
      <x:c r="B55" s="4" t="str"/>
      <x:c r="C55" s="4" t="str">
        <x:v>碳材料（生物炭）</x:v>
      </x:c>
      <x:c r="D55" s="4" t="str">
        <x:v>商品化</x:v>
      </x:c>
      <x:c r="E55" s="4" t="str">
        <x:v>Bilen Kömür LTD., Mersin/Turkey；原料为杏核，经500–600 °C热解制得</x:v>
      </x:c>
      <x:c r="F55" s="4" t="str">
        <x:v>Phytophthora cinnamomi</x:v>
      </x:c>
      <x:c r="G55" s="4" t="str">
        <x:v>菌丝生长抑制（PDA平板径向生长法）</x:v>
      </x:c>
      <x:c r="H55" s="4" t="str">
        <x:v>无显著抑制；处理前后菌落直径均为79 mm</x:v>
      </x:c>
      <x:c r="I55" s="4" t="str">
        <x:v>Amphotericin B (2 mg/L)</x:v>
      </x:c>
      <x:c r="J55" s="4" t="str"/>
      <x:c r="K55" s="4" t="str"/>
      <x:c r="L55" s="4" t="str"/>
      <x:c r="M55" s="4" t="str"/>
      <x:c r="N55" s="4" t="str"/>
      <x:c r="O55" s="4" t="str">
        <x:v>Yıldızlı et al., 2021, ChemBioChem, DOI:10.1002/cbdv.202001002</x:v>
      </x:c>
      <x:c r="P55" s="4" t="str"/>
    </x:row>
    <x:row r="56" ht="54" customHeight="1">
      <x:c r="A56" s="4" t="str">
        <x:v>olive seed biochar</x:v>
      </x:c>
      <x:c r="B56" s="4" t="str"/>
      <x:c r="C56" s="4" t="str">
        <x:v>碳材料（生物炭）</x:v>
      </x:c>
      <x:c r="D56" s="4" t="str">
        <x:v>商品化</x:v>
      </x:c>
      <x:c r="E56" s="4" t="str">
        <x:v>Bilen Kömür LTD., Mersin/Turkey；原料为橄榄核，经500–600 °C热解制得</x:v>
      </x:c>
      <x:c r="F56" s="4" t="str">
        <x:v>Phytophthora cinnamomi</x:v>
      </x:c>
      <x:c r="G56" s="4" t="str">
        <x:v>菌丝生长抑制（PDA平板径向生长法）</x:v>
      </x:c>
      <x:c r="H56" s="4" t="str">
        <x:v>无显著抑制；处理前后菌落直径均为79 mm</x:v>
      </x:c>
      <x:c r="I56" s="4" t="str">
        <x:v>Amphotericin B (2 mg/L)</x:v>
      </x:c>
      <x:c r="J56" s="4" t="str"/>
      <x:c r="K56" s="4" t="str"/>
      <x:c r="L56" s="4" t="str"/>
      <x:c r="M56" s="4" t="str"/>
      <x:c r="N56" s="4" t="str"/>
      <x:c r="O56" s="4" t="str">
        <x:v>Yıldızlı et al., 2021, ChemBioChem, DOI:10.1002/cbdv.202001002</x:v>
      </x:c>
      <x:c r="P56" s="4" t="str"/>
    </x:row>
    <x:row r="57" ht="54" customHeight="1">
      <x:c r="A57" s="4" t="str">
        <x:v>rhamnolipid B</x:v>
      </x:c>
      <x:c r="B57" s="4" t="str">
        <x:v>3-(3-[L-rhamnopyranosyl-(1→2)-α-L-rhamnopyranosyloxy]-decanoyloxy)-decanoic acid</x:v>
      </x:c>
      <x:c r="C57" s="4" t="str">
        <x:v>糖脂类（甘油糖脂）</x:v>
      </x:c>
      <x:c r="D57" s="4" t="str">
        <x:v>微生物</x:v>
      </x:c>
      <x:c r="E57" s="4" t="str">
        <x:v>Pseudomonas aeruginosa strain B5 培养液</x:v>
      </x:c>
      <x:c r="F57" s="4" t="str">
        <x:v>Phytophthora capsici</x:v>
      </x:c>
      <x:c r="G57" s="4" t="str">
        <x:v>最小抑菌浓度（MIC）测定</x:v>
      </x:c>
      <x:c r="H57" s="4" t="str">
        <x:v>MIC = 10 mg/mL</x:v>
      </x:c>
      <x:c r="I57" s="4" t="str"/>
      <x:c r="J57" s="4" t="str">
        <x:v>破坏质膜完整性与通透性</x:v>
      </x:c>
      <x:c r="K57" s="4" t="str">
        <x:v>显微观察、裂解实验</x:v>
      </x:c>
      <x:c r="L57" s="4" t="str"/>
      <x:c r="M57" s="4" t="str"/>
      <x:c r="N57" s="4" t="str"/>
      <x:c r="O57" s="4" t="str">
        <x:v>Beom Seok Kim, Jung Yeop Lee, Byung Kook Hwang, In vivo control and in vitro antifungal activity of rhamnolipid B, a glycolipid antibiotic, against Phytophthora capsici and Colletotrichum orbiculare</x:v>
      </x:c>
      <x:c r="P57" s="4" t="str"/>
    </x:row>
    <x:row r="58" ht="54" customHeight="1">
      <x:c r="A58" s="4" t="str">
        <x:v>rhamnolipid B</x:v>
      </x:c>
      <x:c r="B58" s="4" t="str">
        <x:v>3-(3-[L-rhamnopyranosyl-(1→2)-α-L-rhamnopyranosyloxy]-decanoyloxy)-decanoic acid</x:v>
      </x:c>
      <x:c r="C58" s="4" t="str">
        <x:v>糖脂类（甘油糖脂）</x:v>
      </x:c>
      <x:c r="D58" s="4" t="str">
        <x:v>微生物</x:v>
      </x:c>
      <x:c r="E58" s="4" t="str">
        <x:v>Pseudomonas aeruginosa strain B5 培养液</x:v>
      </x:c>
      <x:c r="F58" s="4" t="str">
        <x:v>Phytophthora capsici</x:v>
      </x:c>
      <x:c r="G58" s="4" t="str">
        <x:v>游动孢子裂解实验</x:v>
      </x:c>
      <x:c r="H58" s="4" t="str">
        <x:v>25 mg/mL 下1分钟内完全裂解；5 mg/mL 以下无裂解但抑制运动性</x:v>
      </x:c>
      <x:c r="I58" s="4" t="str"/>
      <x:c r="J58" s="4" t="str">
        <x:v>破坏质膜完整性与通透性</x:v>
      </x:c>
      <x:c r="K58" s="4" t="str">
        <x:v>显微观察、裂解实验</x:v>
      </x:c>
      <x:c r="L58" s="4" t="str"/>
      <x:c r="M58" s="4" t="str"/>
      <x:c r="N58" s="4" t="str"/>
      <x:c r="O58" s="4" t="str">
        <x:v>Beom Seok Kim, Jung Yeop Lee, Byung Kook Hwang, In vivo control and in vitro antifungal activity of rhamnolipid B, a glycolipid antibiotic, against Phytophthora capsici and Colletotrichum orbiculare</x:v>
      </x:c>
      <x:c r="P58" s="4" t="str"/>
    </x:row>
    <x:row r="59" ht="54" customHeight="1">
      <x:c r="A59" s="4" t="str">
        <x:v>rhamnolipid B</x:v>
      </x:c>
      <x:c r="B59" s="4" t="str">
        <x:v>3-(3-[L-rhamnopyranosyl-(1→2)-α-L-rhamnopyranosyloxy]-decanoyloxy)-decanoic acid</x:v>
      </x:c>
      <x:c r="C59" s="4" t="str">
        <x:v>糖脂类（甘油糖脂）</x:v>
      </x:c>
      <x:c r="D59" s="4" t="str">
        <x:v>微生物</x:v>
      </x:c>
      <x:c r="E59" s="4" t="str">
        <x:v>Pseudomonas aeruginosa strain B5 培养液</x:v>
      </x:c>
      <x:c r="F59" s="4" t="str">
        <x:v>Phytophthora capsici</x:v>
      </x:c>
      <x:c r="G59" s="4" t="str">
        <x:v>孢子萌发抑制</x:v>
      </x:c>
      <x:c r="H59" s="4" t="str">
        <x:v>25 mg/mL 抑制率&gt;50%；50 mg/mL 抑制率≈80%</x:v>
      </x:c>
      <x:c r="I59" s="4" t="str"/>
      <x:c r="J59" s="4" t="str"/>
      <x:c r="K59" s="4" t="str"/>
      <x:c r="L59" s="4" t="str"/>
      <x:c r="M59" s="4" t="str"/>
      <x:c r="N59" s="4" t="str"/>
      <x:c r="O59" s="4" t="str">
        <x:v>Beom Seok Kim, Jung Yeop Lee, Byung Kook Hwang, In vivo control and in vitro antifungal activity of rhamnolipid B, a glycolipid antibiotic, against Phytophthora capsici and Colletotrichum orbiculare</x:v>
      </x:c>
      <x:c r="P59" s="4" t="str"/>
    </x:row>
    <x:row r="60" ht="54" customHeight="1">
      <x:c r="A60" s="4" t="str">
        <x:v>rhamnolipid B</x:v>
      </x:c>
      <x:c r="B60" s="4" t="str">
        <x:v>3-(3-[L-rhamnopyranosyl-(1→2)-α-L-rhamnopyranosyloxy]-decanoyloxy)-decanoic acid</x:v>
      </x:c>
      <x:c r="C60" s="4" t="str">
        <x:v>糖脂类（甘油糖脂）</x:v>
      </x:c>
      <x:c r="D60" s="4" t="str">
        <x:v>微生物</x:v>
      </x:c>
      <x:c r="E60" s="4" t="str">
        <x:v>Pseudomonas aeruginosa strain B5 培养液</x:v>
      </x:c>
      <x:c r="F60" s="4" t="str">
        <x:v>Phytophthora capsici</x:v>
      </x:c>
      <x:c r="G60" s="4" t="str">
        <x:v>菌丝生长抑制</x:v>
      </x:c>
      <x:c r="H60" s="4" t="str">
        <x:v>50 mg/mL 抑制率55%</x:v>
      </x:c>
      <x:c r="I60" s="4" t="str"/>
      <x:c r="J60" s="4" t="str"/>
      <x:c r="K60" s="4" t="str"/>
      <x:c r="L60" s="4" t="str"/>
      <x:c r="M60" s="4" t="str"/>
      <x:c r="N60" s="4" t="str"/>
      <x:c r="O60" s="4" t="str">
        <x:v>Beom Seok Kim, Jung Yeop Lee, Byung Kook Hwang, In vivo control and in vitro antifungal activity of rhamnolipid B, a glycolipid antibiotic, against Phytophthora capsici and Colletotrichum orbiculare</x:v>
      </x:c>
      <x:c r="P60" s="4" t="str"/>
    </x:row>
    <x:row r="61" ht="54" customHeight="1">
      <x:c r="A61" s="4" t="str">
        <x:v>rhamnolipid B</x:v>
      </x:c>
      <x:c r="B61" s="4" t="str">
        <x:v>3-(3-[L-rhamnopyranosyl-(1→2)-α-L-rhamnopyranosyloxy]-decanoyloxy)-decanoic acid</x:v>
      </x:c>
      <x:c r="C61" s="4" t="str">
        <x:v>糖脂类（甘油糖脂）</x:v>
      </x:c>
      <x:c r="D61" s="4" t="str">
        <x:v>微生物</x:v>
      </x:c>
      <x:c r="E61" s="4" t="str">
        <x:v>Pseudomonas aeruginosa strain B5 培养液</x:v>
      </x:c>
      <x:c r="F61" s="4" t="str">
        <x:v>Phytophthora capsici</x:v>
      </x:c>
      <x:c r="G61" s="4" t="str">
        <x:v>离体植株接种（辣椒茎）</x:v>
      </x:c>
      <x:c r="H61" s="4" t="str">
        <x:v>500 mg/mL 完全保护，防效与metalaxyl相当</x:v>
      </x:c>
      <x:c r="I61" s="4" t="str">
        <x:v>metalaxyl</x:v>
      </x:c>
      <x:c r="J61" s="4" t="str"/>
      <x:c r="K61" s="4" t="str"/>
      <x:c r="L61" s="4" t="str"/>
      <x:c r="M61" s="4" t="str"/>
      <x:c r="N61" s="4" t="str"/>
      <x:c r="O61" s="4" t="str">
        <x:v>Beom Seok Kim, Jung Yeop Lee, Byung Kook Hwang, In vivo control and in vitro antifungal activity of rhamnolipid B, a glycolipid antibiotic, against Phytophthora capsici and Colletotrichum orbiculare</x:v>
      </x:c>
      <x:c r="P61" s="4" t="str"/>
    </x:row>
    <x:row r="62" ht="54" customHeight="1">
      <x:c r="A62" s="4" t="str">
        <x:v>flufuran (1)</x:v>
      </x:c>
      <x:c r="B62" s="4" t="str">
        <x:v>5-(hydroxymethyl)furan-3-carboxylic acid</x:v>
      </x:c>
      <x:c r="C62" s="4" t="str">
        <x:v>呋喃类</x:v>
      </x:c>
      <x:c r="D62" s="4" t="str">
        <x:v>微生物</x:v>
      </x:c>
      <x:c r="E62" s="4" t="str">
        <x:v>Aspergillus flavus Link strain ECO-6，分离自意大利卡塞塔省栗子园堆肥</x:v>
      </x:c>
      <x:c r="F62" s="4" t="str">
        <x:v>Phytophthora cinnamomi</x:v>
      </x:c>
      <x:c r="G62" s="4" t="str">
        <x:v>菌丝生长抑制</x:v>
      </x:c>
      <x:c r="H62" s="4" t="str">
        <x:v>class D (66–100% inhibition)</x:v>
      </x:c>
      <x:c r="I62" s="4" t="str"/>
      <x:c r="J62" s="4" t="str"/>
      <x:c r="K62" s="4" t="str"/>
      <x:c r="L62" s="4" t="str"/>
      <x:c r="M62" s="4" t="str"/>
      <x:c r="N62" s="4" t="str"/>
      <x:c r="O62" s="4" t="str">
        <x:v>Antonio Evidente et al., Flufuran, an Antifungal 3,5-Disubstituted Furan Produced by Aspergillus flavus Link</x:v>
      </x:c>
      <x:c r="P62" s="4" t="str"/>
    </x:row>
    <x:row r="63" ht="54" customHeight="1">
      <x:c r="A63" s="4" t="str">
        <x:v>flufuran (1)</x:v>
      </x:c>
      <x:c r="B63" s="4" t="str">
        <x:v>5-(hydroxymethyl)furan-3-carboxylic acid</x:v>
      </x:c>
      <x:c r="C63" s="4" t="str">
        <x:v>呋喃类</x:v>
      </x:c>
      <x:c r="D63" s="4" t="str">
        <x:v>微生物</x:v>
      </x:c>
      <x:c r="E63" s="4" t="str">
        <x:v>Aspergillus flavus Link strain ECO-6，分离自意大利卡塞塔省栗子园堆肥</x:v>
      </x:c>
      <x:c r="F63" s="4" t="str">
        <x:v>Phytophthora nicotianae</x:v>
      </x:c>
      <x:c r="G63" s="4" t="str">
        <x:v>菌丝生长抑制</x:v>
      </x:c>
      <x:c r="H63" s="4" t="str">
        <x:v>class C (34–65% inhibition)</x:v>
      </x:c>
      <x:c r="I63" s="4" t="str"/>
      <x:c r="J63" s="4" t="str"/>
      <x:c r="K63" s="4" t="str"/>
      <x:c r="L63" s="4" t="str"/>
      <x:c r="M63" s="4" t="str"/>
      <x:c r="N63" s="4" t="str"/>
      <x:c r="O63" s="4" t="str">
        <x:v>Antonio Evidente et al., Flufuran, an Antifungal 3,5-Disubstituted Furan Produced by Aspergillus flavus Link</x:v>
      </x:c>
      <x:c r="P63" s="4" t="str"/>
    </x:row>
    <x:row r="64" ht="54" customHeight="1">
      <x:c r="A64" s="4" t="str">
        <x:v>flufuran (1)</x:v>
      </x:c>
      <x:c r="B64" s="4" t="str">
        <x:v>5-(hydroxymethyl)furan-3-carboxylic acid</x:v>
      </x:c>
      <x:c r="C64" s="4" t="str">
        <x:v>呋喃类</x:v>
      </x:c>
      <x:c r="D64" s="4" t="str">
        <x:v>微生物</x:v>
      </x:c>
      <x:c r="E64" s="4" t="str">
        <x:v>Aspergillus flavus Link strain ECO-6，分离自意大利卡塞塔省栗子园堆肥</x:v>
      </x:c>
      <x:c r="F64" s="4" t="str">
        <x:v>Phytophthora cactorum</x:v>
      </x:c>
      <x:c r="G64" s="4" t="str">
        <x:v>菌丝生长抑制</x:v>
      </x:c>
      <x:c r="H64" s="4" t="str">
        <x:v>class A (0% inhibition)</x:v>
      </x:c>
      <x:c r="I64" s="4" t="str"/>
      <x:c r="J64" s="4" t="str"/>
      <x:c r="K64" s="4" t="str"/>
      <x:c r="L64" s="4" t="str"/>
      <x:c r="M64" s="4" t="str"/>
      <x:c r="N64" s="4" t="str"/>
      <x:c r="O64" s="4" t="str">
        <x:v>Antonio Evidente et al., Flufuran, an Antifungal 3,5-Disubstituted Furan Produced by Aspergillus flavus Link</x:v>
      </x:c>
      <x:c r="P64" s="4" t="str"/>
    </x:row>
    <x:row r="65" ht="54" customHeight="1">
      <x:c r="A65" s="4" t="str">
        <x:v>acetic 5-(hydroxymethyl)furan-3-carboxylic anhydride (3)</x:v>
      </x:c>
      <x:c r="B65" s="4" t="str">
        <x:v>acetic 5-(hydroxymethyl)furan-3-carboxylic anhydride</x:v>
      </x:c>
      <x:c r="C65" s="4" t="str">
        <x:v>呋喃类（酸酐衍生物）</x:v>
      </x:c>
      <x:c r="D65" s="4" t="str">
        <x:v>半合成</x:v>
      </x:c>
      <x:c r="E65" s="4" t="str">
        <x:v>由flufuran (1)与乙酸酐和吡啶反应制得</x:v>
      </x:c>
      <x:c r="F65" s="4" t="str">
        <x:v>Phytophthora cinnamomi</x:v>
      </x:c>
      <x:c r="G65" s="4" t="str">
        <x:v>菌丝生长抑制</x:v>
      </x:c>
      <x:c r="H65" s="4" t="str">
        <x:v>class D (66–100% inhibition)</x:v>
      </x:c>
      <x:c r="I65" s="4" t="str"/>
      <x:c r="J65" s="4" t="str"/>
      <x:c r="K65" s="4" t="str"/>
      <x:c r="L65" s="4" t="str"/>
      <x:c r="M65" s="4" t="str"/>
      <x:c r="N65" s="4" t="str"/>
      <x:c r="O65" s="4" t="str">
        <x:v>Antonio Evidente et al., Flufuran, an Antifungal 3,5-Disubstituted Furan Produced by Aspergillus flavus Link</x:v>
      </x:c>
      <x:c r="P65" s="4" t="str"/>
    </x:row>
    <x:row r="66" ht="54" customHeight="1">
      <x:c r="A66" s="4" t="str">
        <x:v>acetic 5-(hydroxymethyl)furan-3-carboxylic anhydride (3)</x:v>
      </x:c>
      <x:c r="B66" s="4" t="str">
        <x:v>acetic 5-(hydroxymethyl)furan-3-carboxylic anhydride</x:v>
      </x:c>
      <x:c r="C66" s="4" t="str">
        <x:v>呋喃类（酸酐衍生物）</x:v>
      </x:c>
      <x:c r="D66" s="4" t="str">
        <x:v>半合成</x:v>
      </x:c>
      <x:c r="E66" s="4" t="str">
        <x:v>由flufuran (1)与乙酸酐和吡啶反应制得</x:v>
      </x:c>
      <x:c r="F66" s="4" t="str">
        <x:v>Phytophthora nicotianae</x:v>
      </x:c>
      <x:c r="G66" s="4" t="str">
        <x:v>菌丝生长抑制</x:v>
      </x:c>
      <x:c r="H66" s="4" t="str">
        <x:v>class D (66–100% inhibition)</x:v>
      </x:c>
      <x:c r="I66" s="4" t="str"/>
      <x:c r="J66" s="4" t="str"/>
      <x:c r="K66" s="4" t="str"/>
      <x:c r="L66" s="4" t="str"/>
      <x:c r="M66" s="4" t="str"/>
      <x:c r="N66" s="4" t="str"/>
      <x:c r="O66" s="4" t="str">
        <x:v>Antonio Evidente et al., Flufuran, an Antifungal 3,5-Disubstituted Furan Produced by Aspergillus flavus Link</x:v>
      </x:c>
      <x:c r="P66" s="4" t="str"/>
    </x:row>
    <x:row r="67" ht="54" customHeight="1">
      <x:c r="A67" s="4" t="str">
        <x:v>acetic 5-(hydroxymethyl)furan-3-carboxylic anhydride (3)</x:v>
      </x:c>
      <x:c r="B67" s="4" t="str">
        <x:v>acetic 5-(hydroxymethyl)furan-3-carboxylic anhydride</x:v>
      </x:c>
      <x:c r="C67" s="4" t="str">
        <x:v>呋喃类（酸酐衍生物）</x:v>
      </x:c>
      <x:c r="D67" s="4" t="str">
        <x:v>半合成</x:v>
      </x:c>
      <x:c r="E67" s="4" t="str">
        <x:v>由flufuran (1)与乙酸酐和吡啶反应制得</x:v>
      </x:c>
      <x:c r="F67" s="4" t="str">
        <x:v>Phytophthora cactorum</x:v>
      </x:c>
      <x:c r="G67" s="4" t="str">
        <x:v>菌丝生长抑制</x:v>
      </x:c>
      <x:c r="H67" s="4" t="str">
        <x:v>class D (66–100% inhibition)</x:v>
      </x:c>
      <x:c r="I67" s="4" t="str"/>
      <x:c r="J67" s="4" t="str"/>
      <x:c r="K67" s="4" t="str"/>
      <x:c r="L67" s="4" t="str"/>
      <x:c r="M67" s="4" t="str"/>
      <x:c r="N67" s="4" t="str"/>
      <x:c r="O67" s="4" t="str">
        <x:v>Antonio Evidente et al., Flufuran, an Antifungal 3,5-Disubstituted Furan Produced by Aspergillus flavus Link</x:v>
      </x:c>
      <x:c r="P67" s="4" t="str"/>
    </x:row>
    <x:row r="68" ht="54" customHeight="1">
      <x:c r="A68" s="4" t="str">
        <x:v>methyl 5-(hydroxymethyl)furan-3-carboxylate (2)</x:v>
      </x:c>
      <x:c r="B68" s="4" t="str">
        <x:v>methyl 5-(hydroxymethyl)furan-3-carboxylate</x:v>
      </x:c>
      <x:c r="C68" s="4" t="str">
        <x:v>呋喃类（酯衍生物）</x:v>
      </x:c>
      <x:c r="D68" s="4" t="str">
        <x:v>半合成</x:v>
      </x:c>
      <x:c r="E68" s="4" t="str">
        <x:v>由flufuran (1)与重氮甲烷在甲醇中反应制得</x:v>
      </x:c>
      <x:c r="F68" s="4" t="str">
        <x:v>Phytophthora cinnamomi</x:v>
      </x:c>
      <x:c r="G68" s="4" t="str">
        <x:v>菌丝生长抑制</x:v>
      </x:c>
      <x:c r="H68" s="4" t="str">
        <x:v>class B (1–33% inhibition)</x:v>
      </x:c>
      <x:c r="I68" s="4" t="str"/>
      <x:c r="J68" s="4" t="str"/>
      <x:c r="K68" s="4" t="str"/>
      <x:c r="L68" s="4" t="str"/>
      <x:c r="M68" s="4" t="str"/>
      <x:c r="N68" s="4" t="str"/>
      <x:c r="O68" s="4" t="str">
        <x:v>Antonio Evidente et al., Flufuran, an Antifungal 3,5-Disubstituted Furan Produced by Aspergillus flavus Link</x:v>
      </x:c>
      <x:c r="P68" s="4" t="str"/>
    </x:row>
    <x:row r="69" ht="54" customHeight="1">
      <x:c r="A69" s="4" t="str">
        <x:v>methyl 5-(hydroxymethyl)furan-3-carboxylate (2)</x:v>
      </x:c>
      <x:c r="B69" s="4" t="str">
        <x:v>methyl 5-(hydroxymethyl)furan-3-carboxylate</x:v>
      </x:c>
      <x:c r="C69" s="4" t="str">
        <x:v>呋喃类（酯衍生物）</x:v>
      </x:c>
      <x:c r="D69" s="4" t="str">
        <x:v>半合成</x:v>
      </x:c>
      <x:c r="E69" s="4" t="str">
        <x:v>由flufuran (1)与重氮甲烷在甲醇中反应制得</x:v>
      </x:c>
      <x:c r="F69" s="4" t="str">
        <x:v>Phytophthora nicotianae</x:v>
      </x:c>
      <x:c r="G69" s="4" t="str">
        <x:v>菌丝生长抑制</x:v>
      </x:c>
      <x:c r="H69" s="4" t="str">
        <x:v>class B (1–33% inhibition)</x:v>
      </x:c>
      <x:c r="I69" s="4" t="str"/>
      <x:c r="J69" s="4" t="str"/>
      <x:c r="K69" s="4" t="str"/>
      <x:c r="L69" s="4" t="str"/>
      <x:c r="M69" s="4" t="str"/>
      <x:c r="N69" s="4" t="str"/>
      <x:c r="O69" s="4" t="str">
        <x:v>Antonio Evidente et al., Flufuran, an Antifungal 3,5-Disubstituted Furan Produced by Aspergillus flavus Link</x:v>
      </x:c>
      <x:c r="P69" s="4" t="str"/>
    </x:row>
    <x:row r="70" ht="54" customHeight="1">
      <x:c r="A70" s="4" t="str">
        <x:v>methyl 5-(hydroxymethyl)furan-3-carboxylate (2)</x:v>
      </x:c>
      <x:c r="B70" s="4" t="str">
        <x:v>methyl 5-(hydroxymethyl)furan-3-carboxylate</x:v>
      </x:c>
      <x:c r="C70" s="4" t="str">
        <x:v>呋喃类（酯衍生物）</x:v>
      </x:c>
      <x:c r="D70" s="4" t="str">
        <x:v>半合成</x:v>
      </x:c>
      <x:c r="E70" s="4" t="str">
        <x:v>由flufuran (1)与重氮甲烷在甲醇中反应制得</x:v>
      </x:c>
      <x:c r="F70" s="4" t="str">
        <x:v>Phytophthora cactorum</x:v>
      </x:c>
      <x:c r="G70" s="4" t="str">
        <x:v>菌丝生长抑制</x:v>
      </x:c>
      <x:c r="H70" s="4" t="str">
        <x:v>class A (0% inhibition)</x:v>
      </x:c>
      <x:c r="I70" s="4" t="str"/>
      <x:c r="J70" s="4" t="str"/>
      <x:c r="K70" s="4" t="str"/>
      <x:c r="L70" s="4" t="str"/>
      <x:c r="M70" s="4" t="str"/>
      <x:c r="N70" s="4" t="str"/>
      <x:c r="O70" s="4" t="str">
        <x:v>Antonio Evidente et al., Flufuran, an Antifungal 3,5-Disubstituted Furan Produced by Aspergillus flavus Link</x:v>
      </x:c>
      <x:c r="P70" s="4" t="str"/>
    </x:row>
    <x:row r="71" ht="54" customHeight="1">
      <x:c r="A71" s="4" t="str">
        <x:v>methyl 5-(acetoxymethyl)furan-3-carboxylate (4)</x:v>
      </x:c>
      <x:c r="B71" s="4" t="str">
        <x:v>methyl 5-(acetoxymethyl)furan-3-carboxylate</x:v>
      </x:c>
      <x:c r="C71" s="4" t="str">
        <x:v>呋喃类（酯+乙酰衍生物）</x:v>
      </x:c>
      <x:c r="D71" s="4" t="str">
        <x:v>半合成</x:v>
      </x:c>
      <x:c r="E71" s="4" t="str">
        <x:v>由化合物2与乙酸酐和吡啶反应制得</x:v>
      </x:c>
      <x:c r="F71" s="4" t="str">
        <x:v>Phytophthora cinnamomi</x:v>
      </x:c>
      <x:c r="G71" s="4" t="str">
        <x:v>菌丝生长抑制</x:v>
      </x:c>
      <x:c r="H71" s="4" t="str">
        <x:v>class B (1–33% inhibition)</x:v>
      </x:c>
      <x:c r="I71" s="4" t="str"/>
      <x:c r="J71" s="4" t="str"/>
      <x:c r="K71" s="4" t="str"/>
      <x:c r="L71" s="4" t="str"/>
      <x:c r="M71" s="4" t="str"/>
      <x:c r="N71" s="4" t="str"/>
      <x:c r="O71" s="4" t="str">
        <x:v>Antonio Evidente et al., Flufuran, an Antifungal 3,5-Disubstituted Furan Produced by Aspergillus flavus Link</x:v>
      </x:c>
      <x:c r="P71" s="4" t="str"/>
    </x:row>
    <x:row r="72" ht="54" customHeight="1">
      <x:c r="A72" s="4" t="str">
        <x:v>methyl 5-(acetoxymethyl)furan-3-carboxylate (4)</x:v>
      </x:c>
      <x:c r="B72" s="4" t="str">
        <x:v>methyl 5-(acetoxymethyl)furan-3-carboxylate</x:v>
      </x:c>
      <x:c r="C72" s="4" t="str">
        <x:v>呋喃类（酯+乙酰衍生物）</x:v>
      </x:c>
      <x:c r="D72" s="4" t="str">
        <x:v>半合成</x:v>
      </x:c>
      <x:c r="E72" s="4" t="str">
        <x:v>由化合物2与乙酸酐和吡啶反应制得</x:v>
      </x:c>
      <x:c r="F72" s="4" t="str">
        <x:v>Phytophthora nicotianae</x:v>
      </x:c>
      <x:c r="G72" s="4" t="str">
        <x:v>菌丝生长抑制</x:v>
      </x:c>
      <x:c r="H72" s="4" t="str">
        <x:v>class B (1–33% inhibition)</x:v>
      </x:c>
      <x:c r="I72" s="4" t="str"/>
      <x:c r="J72" s="4" t="str"/>
      <x:c r="K72" s="4" t="str"/>
      <x:c r="L72" s="4" t="str"/>
      <x:c r="M72" s="4" t="str"/>
      <x:c r="N72" s="4" t="str"/>
      <x:c r="O72" s="4" t="str">
        <x:v>Antonio Evidente et al., Flufuran, an Antifungal 3,5-Disubstituted Furan Produced by Aspergillus flavus Link</x:v>
      </x:c>
      <x:c r="P72" s="4" t="str"/>
    </x:row>
    <x:row r="73" ht="54" customHeight="1">
      <x:c r="A73" s="4" t="str">
        <x:v>methyl 5-(acetoxymethyl)furan-3-carboxylate (4)</x:v>
      </x:c>
      <x:c r="B73" s="4" t="str">
        <x:v>methyl 5-(acetoxymethyl)furan-3-carboxylate</x:v>
      </x:c>
      <x:c r="C73" s="4" t="str">
        <x:v>呋喃类（酯+乙酰衍生物）</x:v>
      </x:c>
      <x:c r="D73" s="4" t="str">
        <x:v>半合成</x:v>
      </x:c>
      <x:c r="E73" s="4" t="str">
        <x:v>由化合物2与乙酸酐和吡啶反应制得</x:v>
      </x:c>
      <x:c r="F73" s="4" t="str">
        <x:v>Phytophthora cactorum</x:v>
      </x:c>
      <x:c r="G73" s="4" t="str">
        <x:v>菌丝生长抑制</x:v>
      </x:c>
      <x:c r="H73" s="4" t="str">
        <x:v>class A (0% inhibition)</x:v>
      </x:c>
      <x:c r="I73" s="4" t="str"/>
      <x:c r="J73" s="4" t="str"/>
      <x:c r="K73" s="4" t="str"/>
      <x:c r="L73" s="4" t="str"/>
      <x:c r="M73" s="4" t="str"/>
      <x:c r="N73" s="4" t="str"/>
      <x:c r="O73" s="4" t="str">
        <x:v>Antonio Evidente et al., Flufuran, an Antifungal 3,5-Disubstituted Furan Produced by Aspergillus flavus Link</x:v>
      </x:c>
      <x:c r="P73" s="4" t="str"/>
    </x:row>
    <x:row r="74" ht="54" customHeight="1">
      <x:c r="A74" s="4" t="str">
        <x:v>4a</x:v>
      </x:c>
      <x:c r="B74" s="4" t="str">
        <x:v>2-(4-formyl-2-methoxyphenyl) 4-methyl 5-methyl-1-propyl-1H-pyrrole-2,4-dicarboxylate</x:v>
      </x:c>
      <x:c r="C74" s="4" t="str">
        <x:v>吡咯酯类</x:v>
      </x:c>
      <x:c r="D74" s="4" t="str">
        <x:v>化学合成</x:v>
      </x:c>
      <x:c r="E74" s="4" t="str">
        <x:v>以glucosamine hydrochloride为起始原料，经环化、氧化和酯化三步反应合成；关键中间体为compound 3（4-(methoxycarbonyl)-5-methyl-1-propyl-1H-pyrrole-2-carboxylic acid），与香兰素在EDC/DMAP条件下酯化</x:v>
      </x:c>
      <x:c r="F74" s="4" t="str">
        <x:v>*Phytophthora nicotianae*</x:v>
      </x:c>
      <x:c r="G74" s="4" t="str">
        <x:v>菌丝生长抑制（mycelial growth rate technique）</x:v>
      </x:c>
      <x:c r="H74" s="4" t="str">
        <x:v>0.2 mg/mL 抑制率55.00%</x:v>
      </x:c>
      <x:c r="I74" s="4" t="str">
        <x:v>triadimefon（25.00%）</x:v>
      </x:c>
      <x:c r="J74" s="4" t="str">
        <x:v>SDHI蛋白（琥珀酸脱氢酶抑制剂）</x:v>
      </x:c>
      <x:c r="K74" s="4" t="str">
        <x:v>分子对接（AutoDock Vina），靶蛋白为Rhizoctonia solani SDHB亚基（模板ID A0A0K6FYZ3）</x:v>
      </x:c>
      <x:c r="L74" s="4" t="str"/>
      <x:c r="M74" s="4" t="str"/>
      <x:c r="N74" s="4" t="str"/>
      <x:c r="O74" s="4" t="str">
        <x:v>Miao Lai et al., 2023, Synthesis, Thermal Stability and Antifungal Evaluation of Two New Pyrrole Esters, DOI:10.21203/rs.3.rs-3168951/v1</x:v>
      </x:c>
      <x:c r="P74" s="4" t="str"/>
    </x:row>
    <x:row r="75" ht="54" customHeight="1">
      <x:c r="A75" s="4" t="str">
        <x:v>4a</x:v>
      </x:c>
      <x:c r="B75" s="4" t="str">
        <x:v>2-(4-formyl-2-methoxyphenyl) 4-methyl 5-methyl-1-propyl-1H-pyrrole-2,4-dicarboxylate</x:v>
      </x:c>
      <x:c r="C75" s="4" t="str">
        <x:v>吡咯酯类</x:v>
      </x:c>
      <x:c r="D75" s="4" t="str">
        <x:v>化学合成</x:v>
      </x:c>
      <x:c r="E75" s="4" t="str">
        <x:v>以glucosamine hydrochloride为起始原料，经环化、氧化和酯化三步反应合成；关键中间体为compound 3，与香兰素在EDC/DMAP条件下酯化</x:v>
      </x:c>
      <x:c r="F75" s="4" t="str">
        <x:v>*Rhizoctonia solani*</x:v>
      </x:c>
      <x:c r="G75" s="4" t="str">
        <x:v>菌丝生长抑制</x:v>
      </x:c>
      <x:c r="H75" s="4" t="str">
        <x:v>EC50 = 0.0296 mg/mL</x:v>
      </x:c>
      <x:c r="I75" s="4" t="str">
        <x:v>triadimefon（6.25% at 0.2 mg/mL）</x:v>
      </x:c>
      <x:c r="J75" s="4" t="str">
        <x:v>SDHI蛋白</x:v>
      </x:c>
      <x:c r="K75" s="4" t="str">
        <x:v>分子对接</x:v>
      </x:c>
      <x:c r="L75" s="4" t="str"/>
      <x:c r="M75" s="4" t="str"/>
      <x:c r="N75" s="4" t="str"/>
      <x:c r="O75" s="4" t="str">
        <x:v>Miao Lai et al., 2023, Synthesis, Thermal Stability and Antifungal Evaluation of Two New Pyrrole Esters, DOI:10.21203/rs.3.rs-3168951/v1</x:v>
      </x:c>
      <x:c r="P75" s="4" t="str"/>
    </x:row>
    <x:row r="76" ht="54" customHeight="1">
      <x:c r="A76" s="4" t="str">
        <x:v>4b</x:v>
      </x:c>
      <x:c r="B76" s="4" t="str">
        <x:v>2-(2-ethyl-4-oxo-4H-pyran-3-yl) 4-methyl 5-methyl-1-propyl-1H-pyrrole-2,4-dicarboxylate</x:v>
      </x:c>
      <x:c r="C76" s="4" t="str">
        <x:v>吡咯酯类</x:v>
      </x:c>
      <x:c r="D76" s="4" t="str">
        <x:v>化学合成</x:v>
      </x:c>
      <x:c r="E76" s="4" t="str">
        <x:v>以glucosamine hydrochloride为起始原料，经环化、氧化和酯化三步反应合成；关键中间体为compound 3，与乙基麦芽酚在EDC/DMAP条件下酯化</x:v>
      </x:c>
      <x:c r="F76" s="4" t="str">
        <x:v>*Phytophthora nicotianae*</x:v>
      </x:c>
      <x:c r="G76" s="4" t="str">
        <x:v>菌丝生长抑制</x:v>
      </x:c>
      <x:c r="H76" s="4" t="str">
        <x:v>0.2 mg/mL 抑制率60.00%</x:v>
      </x:c>
      <x:c r="I76" s="4" t="str">
        <x:v>triadimefon（25.00%）</x:v>
      </x:c>
      <x:c r="J76" s="4" t="str">
        <x:v>SDHI蛋白</x:v>
      </x:c>
      <x:c r="K76" s="4" t="str">
        <x:v>分子对接（结合能-6.8 kcal/mol）</x:v>
      </x:c>
      <x:c r="L76" s="4" t="str"/>
      <x:c r="M76" s="4" t="str"/>
      <x:c r="N76" s="4" t="str"/>
      <x:c r="O76" s="4" t="str">
        <x:v>Miao Lai et al., 2023, Synthesis, Thermal Stability and Antifungal Evaluation of Two New Pyrrole Esters, DOI:10.21203/rs.3.rs-3168951/v1</x:v>
      </x:c>
      <x:c r="P76" s="4" t="str"/>
    </x:row>
    <x:row r="77" ht="54" customHeight="1">
      <x:c r="A77" s="4" t="str">
        <x:v>4b</x:v>
      </x:c>
      <x:c r="B77" s="4" t="str">
        <x:v>2-(2-ethyl-4-oxo-4H-pyran-3-yl) 4-methyl 5-methyl-1-propyl-1H-pyrrole-2,4-dicarboxylate</x:v>
      </x:c>
      <x:c r="C77" s="4" t="str">
        <x:v>吡咯酯类</x:v>
      </x:c>
      <x:c r="D77" s="4" t="str">
        <x:v>化学合成</x:v>
      </x:c>
      <x:c r="E77" s="4" t="str">
        <x:v>以glucosamine hydrochloride为起始原料，经环化、氧化和酯化三步反应合成；关键中间体为compound 3，与乙基麦芽酚在EDC/DMAP条件下酯化</x:v>
      </x:c>
      <x:c r="F77" s="4" t="str">
        <x:v>*Rhizoctonia solani*</x:v>
      </x:c>
      <x:c r="G77" s="4" t="str">
        <x:v>菌丝生长抑制</x:v>
      </x:c>
      <x:c r="H77" s="4" t="str">
        <x:v>EC50 = 0.0200 mg/mL</x:v>
      </x:c>
      <x:c r="I77" s="4" t="str">
        <x:v>triadimefon（6.25% at 0.2 mg/mL）</x:v>
      </x:c>
      <x:c r="J77" s="4" t="str">
        <x:v>SDHI蛋白</x:v>
      </x:c>
      <x:c r="K77" s="4" t="str">
        <x:v>分子对接</x:v>
      </x:c>
      <x:c r="L77" s="4" t="str"/>
      <x:c r="M77" s="4" t="str"/>
      <x:c r="N77" s="4" t="str"/>
      <x:c r="O77" s="4" t="str">
        <x:v>Miao Lai et al., 2023, Synthesis, Thermal Stability and Antifungal Evaluation of Two New Pyrrole Esters, DOI:10.21203/rs.3.rs-3168951/v1</x:v>
      </x:c>
      <x:c r="P77" s="4" t="str"/>
    </x:row>
    <x:row r="78" ht="54" customHeight="1">
      <x:c r="A78" s="4" t="str">
        <x:v>acremoxanthone E (1)</x:v>
      </x:c>
      <x:c r="B78" s="4" t="str">
        <x:v>Methyl rel-(1R,8aR,9S,16S,17aR)-1,5,8,9,15,16-Hexahydro-1,4,6,9,13,14-hexahydroxy-11-methyl-5,15-dioxo-17aH-8a,16-ethenonaphtho[2',3':5,6]cyclohepta[1,2-c]xanthene-17a-carboxylate</x:v>
      </x:c>
      <x:c r="C78" s="4" t="str">
        <x:v>聚酮类（异源二聚体，含羟蒽酮单元）</x:v>
      </x:c>
      <x:c r="D78" s="4" t="str">
        <x:v>微生物</x:v>
      </x:c>
      <x:c r="E78" s="4" t="str">
        <x:v>Acremonium camptosporum W. Gams (Clavicipitaceae) 内生真菌，分离自墨西哥Quintana Roo州Bursera simaruba叶</x:v>
      </x:c>
      <x:c r="F78" s="4" t="str">
        <x:v>Pythium aphanidermatum</x:v>
      </x:c>
      <x:c r="G78" s="4" t="str">
        <x:v>菌丝生长抑制</x:v>
      </x:c>
      <x:c r="H78" s="4" t="str">
        <x:v>IC50 = 12.0 ± 0.5 μM</x:v>
      </x:c>
      <x:c r="I78" s="4" t="str">
        <x:v>metalaxyl (mefenoxam)</x:v>
      </x:c>
      <x:c r="J78" s="4" t="str">
        <x:v>未报道</x:v>
      </x:c>
      <x:c r="K78" s="4" t="str">
        <x:v>未报道</x:v>
      </x:c>
      <x:c r="L78" s="4" t="str">
        <x:v>IC50 = 3–16 μM（对6种人癌细胞系）</x:v>
      </x:c>
      <x:c r="M78" s="4" t="str">
        <x:v>未报道</x:v>
      </x:c>
      <x:c r="N78" s="4" t="str">
        <x:v>未报道</x:v>
      </x:c>
      <x:c r="O78" s="4" t="str">
        <x:v>Mele ´ndez-Gonza ´lez et al., Acremoxanthone E, a Novel Member of Heterodimeric Polyketides with a Bicyclo[3.2.2]nonene Ring, Produced by Acremonium camptosporum W. Gams (Clavicipitaceae) Endophytic Fungus, doi:</x:v>
      </x:c>
      <x:c r="P78" s="4" t="str"/>
    </x:row>
    <x:row r="79" ht="54" customHeight="1">
      <x:c r="A79" s="4" t="str">
        <x:v>acremoxanthone E (1)</x:v>
      </x:c>
      <x:c r="B79" s="4" t="str">
        <x:v>Methyl rel-(1R,8aR,9S,16S,17aR)-1,5,8,9,15,16-Hexahydro-1,4,6,9,13,14-hexahydroxy-11-methyl-5,15-dioxo-17aH-8a,16-ethenonaphtho[2',3':5,6]cyclohepta[1,2-c]xanthene-17a-carboxylate</x:v>
      </x:c>
      <x:c r="C79" s="4" t="str">
        <x:v>聚酮类（异源二聚体，含羟蒽酮单元）</x:v>
      </x:c>
      <x:c r="D79" s="4" t="str">
        <x:v>微生物</x:v>
      </x:c>
      <x:c r="E79" s="4" t="str">
        <x:v>Acremonium camptosporum W. Gams (Clavicipitaceae) 内生真菌，分离自墨西哥Quintana Roo州Bursera simaruba叶</x:v>
      </x:c>
      <x:c r="F79" s="4" t="str">
        <x:v>Phytophthora cinnamomi</x:v>
      </x:c>
      <x:c r="G79" s="4" t="str">
        <x:v>菌丝生长抑制</x:v>
      </x:c>
      <x:c r="H79" s="4" t="str">
        <x:v>IC50 = 8.0 ± 0.3 μM</x:v>
      </x:c>
      <x:c r="I79" s="4" t="str">
        <x:v>metalaxyl (mefenoxam)</x:v>
      </x:c>
      <x:c r="J79" s="4" t="str">
        <x:v>未报道</x:v>
      </x:c>
      <x:c r="K79" s="4" t="str">
        <x:v>未报道</x:v>
      </x:c>
      <x:c r="L79" s="4" t="str">
        <x:v>IC50 = 3–16 μM（对6种人癌细胞系）</x:v>
      </x:c>
      <x:c r="M79" s="4" t="str">
        <x:v>未报道</x:v>
      </x:c>
      <x:c r="N79" s="4" t="str">
        <x:v>未报道</x:v>
      </x:c>
      <x:c r="O79" s="4" t="str">
        <x:v>Mele ´ndez-Gonza ´lez et al., Acremoxanthone E, a Novel Member of Heterodimeric Polyketides with a Bicyclo[3.2.2]nonene Ring, Produced by Acremonium camptosporum W. Gams (Clavicipitaceae) Endophytic Fungus, doi:</x:v>
      </x:c>
      <x:c r="P79" s="4" t="str"/>
    </x:row>
    <x:row r="80" ht="54" customHeight="1">
      <x:c r="A80" s="4" t="str">
        <x:v>acremoxanthone E (1)</x:v>
      </x:c>
      <x:c r="B80" s="4" t="str">
        <x:v>Methyl rel-(1R,8aR,9S,16S,17aR)-1,5,8,9,15,16-Hexahydro-1,4,6,9,13,14-hexahydroxy-11-methyl-5,15-dioxo-17aH-8a,16-ethenonaphtho[2',3':5,6]cyclohepta[1,2-c]xanthene-17a-carboxylate</x:v>
      </x:c>
      <x:c r="C80" s="4" t="str">
        <x:v>聚酮类（异源二聚体，含羟蒽酮单元）</x:v>
      </x:c>
      <x:c r="D80" s="4" t="str">
        <x:v>微生物</x:v>
      </x:c>
      <x:c r="E80" s="4" t="str">
        <x:v>Acremonium camptosporum W. Gams (Clavicipitaceae) 内生真菌，分离自墨西哥Quintana Roo州Bursera simaruba叶</x:v>
      </x:c>
      <x:c r="F80" s="4" t="str">
        <x:v>Phytophthora capsici</x:v>
      </x:c>
      <x:c r="G80" s="4" t="str">
        <x:v>菌丝生长抑制</x:v>
      </x:c>
      <x:c r="H80" s="4" t="str">
        <x:v>IC50 = 15.0 ± 0.8 μM</x:v>
      </x:c>
      <x:c r="I80" s="4" t="str">
        <x:v>metalaxyl (mefenoxam)</x:v>
      </x:c>
      <x:c r="J80" s="4" t="str">
        <x:v>未报道</x:v>
      </x:c>
      <x:c r="K80" s="4" t="str">
        <x:v>未报道</x:v>
      </x:c>
      <x:c r="L80" s="4" t="str">
        <x:v>IC50 = 3–16 μM（对6种人癌细胞系）</x:v>
      </x:c>
      <x:c r="M80" s="4" t="str">
        <x:v>未报道</x:v>
      </x:c>
      <x:c r="N80" s="4" t="str">
        <x:v>未报道</x:v>
      </x:c>
      <x:c r="O80" s="4" t="str">
        <x:v>Mele ´ndez-Gonza ´lez et al., Acremoxanthone E, a Novel Member of Heterodimeric Polyketides with a Bicyclo[3.2.2]nonene Ring, Produced by Acremonium camptosporum W. Gams (Clavicipitaceae) Endophytic Fungus, doi:</x:v>
      </x:c>
      <x:c r="P80" s="4" t="str"/>
    </x:row>
    <x:row r="81" ht="54" customHeight="1">
      <x:c r="A81" s="4" t="str">
        <x:v>acremoxanthone E (1)</x:v>
      </x:c>
      <x:c r="B81" s="4" t="str">
        <x:v>Methyl rel-(1R,8aR,9S,16S,17aR)-1,5,8,9,15,16-Hexahydro-1,4,6,9,13,14-hexahydroxy-11-methyl-5,15-dioxo-17aH-8a,16-ethenonaphtho[2',3':5,6]cyclohepta[1,2-c]xanthene-17a-carboxylate</x:v>
      </x:c>
      <x:c r="C81" s="4" t="str">
        <x:v>聚酮类（异源二聚体，含羟蒽酮单元）</x:v>
      </x:c>
      <x:c r="D81" s="4" t="str">
        <x:v>微生物</x:v>
      </x:c>
      <x:c r="E81" s="4" t="str">
        <x:v>Acremonium camptosporum W. Gams (Clavicipitaceae) 内生真菌，分离自墨西哥Quintana Roo州Bursera simaruba叶</x:v>
      </x:c>
      <x:c r="F81" s="4" t="str">
        <x:v>Phytophthora parasitica</x:v>
      </x:c>
      <x:c r="G81" s="4" t="str">
        <x:v>菌丝生长抑制</x:v>
      </x:c>
      <x:c r="H81" s="4" t="str">
        <x:v>IC50 = 18.0 ± 1.0 μM</x:v>
      </x:c>
      <x:c r="I81" s="4" t="str">
        <x:v>metalaxyl (mefenoxam)</x:v>
      </x:c>
      <x:c r="J81" s="4" t="str">
        <x:v>未报道</x:v>
      </x:c>
      <x:c r="K81" s="4" t="str">
        <x:v>未报道</x:v>
      </x:c>
      <x:c r="L81" s="4" t="str">
        <x:v>IC50 = 3–16 μM（对6种人癌细胞系）</x:v>
      </x:c>
      <x:c r="M81" s="4" t="str">
        <x:v>未报道</x:v>
      </x:c>
      <x:c r="N81" s="4" t="str">
        <x:v>未报道</x:v>
      </x:c>
      <x:c r="O81" s="4" t="str">
        <x:v>Mele ´ndez-Gonza ´lez et al., Acremoxanthone E, a Novel Member of Heterodimeric Polyketides with a Bicyclo[3.2.2]nonene Ring, Produced by Acremonium camptosporum W. Gams (Clavicipitaceae) Endophytic Fungus, doi:</x:v>
      </x:c>
      <x:c r="P81" s="4" t="str"/>
    </x:row>
    <x:row r="82" ht="54" customHeight="1">
      <x:c r="A82" s="4" t="str">
        <x:v>acremoxanthone C (2)</x:v>
      </x:c>
      <x:c r="B82" s="4" t="str">
        <x:v>Methyl rel-(1R,8aR,9S,16S,17aR)-9-(Acetyloxy)-1,5,8,9,15,16-hexahydro-1,4,6,13,14-pentahydroxy-11-methyl-5,15-dioxo-17aH-8a,16-ethenonaphtho[2',3':5,6]cyclohepta[1,2-c]xanthene-17a-carboxylate</x:v>
      </x:c>
      <x:c r="C82" s="4" t="str">
        <x:v>聚酮类（异源二聚体，含羟蒽酮单元）</x:v>
      </x:c>
      <x:c r="D82" s="4" t="str">
        <x:v>微生物</x:v>
      </x:c>
      <x:c r="E82" s="4" t="str">
        <x:v>Acremonium camptosporum W. Gams (Clavicipitaceae) 内生真菌，分离自墨西哥Quintana Roo州Bursera simaruba叶</x:v>
      </x:c>
      <x:c r="F82" s="4" t="str">
        <x:v>Pythium aphanidermatum</x:v>
      </x:c>
      <x:c r="G82" s="4" t="str">
        <x:v>菌丝生长抑制</x:v>
      </x:c>
      <x:c r="H82" s="4" t="str">
        <x:v>IC50 = 10.0 ± 0.4 μM</x:v>
      </x:c>
      <x:c r="I82" s="4" t="str">
        <x:v>metalaxyl (mefenoxam)</x:v>
      </x:c>
      <x:c r="J82" s="4" t="str">
        <x:v>未报道</x:v>
      </x:c>
      <x:c r="K82" s="4" t="str">
        <x:v>未报道</x:v>
      </x:c>
      <x:c r="L82" s="4" t="str">
        <x:v>IC50 = 3–16 μM（对6种人癌细胞系）</x:v>
      </x:c>
      <x:c r="M82" s="4" t="str">
        <x:v>未报道</x:v>
      </x:c>
      <x:c r="N82" s="4" t="str">
        <x:v>未报道</x:v>
      </x:c>
      <x:c r="O82" s="4" t="str">
        <x:v>Mele ´ndez-Gonza ´lez et al., Acremoxanthone E, a Novel Member of Heterodimeric Polyketides with a Bicyclo[3.2.2]nonene Ring, Produced by Acremonium camptosporum W. Gams (Clavicipitaceae) Endophytic Fungus, doi:</x:v>
      </x:c>
      <x:c r="P82" s="4" t="str"/>
    </x:row>
    <x:row r="83" ht="54" customHeight="1">
      <x:c r="A83" s="4" t="str">
        <x:v>acremoxanthone C (2)</x:v>
      </x:c>
      <x:c r="B83" s="4" t="str">
        <x:v>Methyl rel-(1R,8aR,9S,16S,17aR)-9-(Acetyloxy)-1,5,8,9,15,16-hexahydro-1,4,6,13,14-pentahydroxy-11-methyl-5,15-dioxo-17aH-8a,16-ethenonaphtho[2',3':5,6]cyclohepta[1,2-c]xanthene-17a-carboxylate</x:v>
      </x:c>
      <x:c r="C83" s="4" t="str">
        <x:v>聚酮类（异源二聚体，含羟蒽酮单元）</x:v>
      </x:c>
      <x:c r="D83" s="4" t="str">
        <x:v>微生物</x:v>
      </x:c>
      <x:c r="E83" s="4" t="str">
        <x:v>Acremonium camptosporum W. Gams (Clavicipitaceae) 内生真菌，分离自墨西哥Quintana Roo州Bursera simaruba叶</x:v>
      </x:c>
      <x:c r="F83" s="4" t="str">
        <x:v>Phytophthora cinnamomi</x:v>
      </x:c>
      <x:c r="G83" s="4" t="str">
        <x:v>菌丝生长抑制</x:v>
      </x:c>
      <x:c r="H83" s="4" t="str">
        <x:v>IC50 = 7.0 ± 0.2 μM</x:v>
      </x:c>
      <x:c r="I83" s="4" t="str">
        <x:v>metalaxyl (mefenoxam)</x:v>
      </x:c>
      <x:c r="J83" s="4" t="str">
        <x:v>未报道</x:v>
      </x:c>
      <x:c r="K83" s="4" t="str">
        <x:v>未报道</x:v>
      </x:c>
      <x:c r="L83" s="4" t="str">
        <x:v>IC50 = 3–16 μM（对6种人癌细胞系）</x:v>
      </x:c>
      <x:c r="M83" s="4" t="str">
        <x:v>未报道</x:v>
      </x:c>
      <x:c r="N83" s="4" t="str">
        <x:v>未报道</x:v>
      </x:c>
      <x:c r="O83" s="4" t="str">
        <x:v>Mele ´ndez-Gonza ´lez et al., Acremoxanthone E, a Novel Member of Heterodimeric Polyketides with a Bicyclo[3.2.2]nonene Ring, Produced by Acremonium camptosporum W. Gams (Clavicipitaceae) Endophytic Fungus, doi:</x:v>
      </x:c>
      <x:c r="P83" s="4" t="str"/>
    </x:row>
    <x:row r="84" ht="54" customHeight="1">
      <x:c r="A84" s="4" t="str">
        <x:v>acremoxanthone C (2)</x:v>
      </x:c>
      <x:c r="B84" s="4" t="str">
        <x:v>Methyl rel-(1R,8aR,9S,16S,17aR)-9-(Acetyloxy)-1,5,8,9,15,16-hexahydro-1,4,6,13,14-pentahydroxy-11-methyl-5,15-dioxo-17aH-8a,16-ethenonaphtho[2',3':5,6]cyclohepta[1,2-c]xanthene-17a-carboxylate</x:v>
      </x:c>
      <x:c r="C84" s="4" t="str">
        <x:v>聚酮类（异源二聚体，含羟蒽酮单元）</x:v>
      </x:c>
      <x:c r="D84" s="4" t="str">
        <x:v>微生物</x:v>
      </x:c>
      <x:c r="E84" s="4" t="str">
        <x:v>Acremonium camptosporum W. Gams (Clavicipitaceae) 内生真菌，分离自墨西哥Quintana Roo州Bursera simaruba叶</x:v>
      </x:c>
      <x:c r="F84" s="4" t="str">
        <x:v>Phytophthora capsici</x:v>
      </x:c>
      <x:c r="G84" s="4" t="str">
        <x:v>菌丝生长抑制</x:v>
      </x:c>
      <x:c r="H84" s="4" t="str">
        <x:v>IC50 = 13.0 ± 0.6 μM</x:v>
      </x:c>
      <x:c r="I84" s="4" t="str">
        <x:v>metalaxyl (mefenoxam)</x:v>
      </x:c>
      <x:c r="J84" s="4" t="str">
        <x:v>未报道</x:v>
      </x:c>
      <x:c r="K84" s="4" t="str">
        <x:v>未报道</x:v>
      </x:c>
      <x:c r="L84" s="4" t="str">
        <x:v>IC50 = 3–16 μM（对6种人癌细胞系）</x:v>
      </x:c>
      <x:c r="M84" s="4" t="str">
        <x:v>未报道</x:v>
      </x:c>
      <x:c r="N84" s="4" t="str">
        <x:v>未报道</x:v>
      </x:c>
      <x:c r="O84" s="4" t="str">
        <x:v>Mele ´ndez-Gonza ´lez et al., Acremoxanthone E, a Novel Member of Heterodimeric Polyketides with a Bicyclo[3.2.2]nonene Ring, Produced by Acremonium camptosporum W. Gams (Clavicipitaceae) Endophytic Fungus, doi:</x:v>
      </x:c>
      <x:c r="P84" s="4" t="str"/>
    </x:row>
    <x:row r="85" ht="54" customHeight="1">
      <x:c r="A85" s="4" t="str">
        <x:v>acremoxanthone C (2)</x:v>
      </x:c>
      <x:c r="B85" s="4" t="str">
        <x:v>Methyl rel-(1R,8aR,9S,16S,17aR)-9-(Acetyloxy)-1,5,8,9,15,16-hexahydro-1,4,6,13,14-pentahydroxy-11-methyl-5,15-dioxo-17aH-8a,16-ethenonaphtho[2',3':5,6]cyclohepta[1,2-c]xanthene-17a-carboxylate</x:v>
      </x:c>
      <x:c r="C85" s="4" t="str">
        <x:v>聚酮类（异源二聚体，含羟蒽酮单元）</x:v>
      </x:c>
      <x:c r="D85" s="4" t="str">
        <x:v>微生物</x:v>
      </x:c>
      <x:c r="E85" s="4" t="str">
        <x:v>Acremonium camptosporum W. Gams (Clavicipitaceae) 内生真菌，分离自墨西哥Quintana Roo州Bursera simaruba叶</x:v>
      </x:c>
      <x:c r="F85" s="4" t="str">
        <x:v>Phytophthora parasitica</x:v>
      </x:c>
      <x:c r="G85" s="4" t="str">
        <x:v>菌丝生长抑制</x:v>
      </x:c>
      <x:c r="H85" s="4" t="str">
        <x:v>IC50 = 16.0 ± 0.9 μM</x:v>
      </x:c>
      <x:c r="I85" s="4" t="str">
        <x:v>metalaxyl (mefenoxam)</x:v>
      </x:c>
      <x:c r="J85" s="4" t="str">
        <x:v>未报道</x:v>
      </x:c>
      <x:c r="K85" s="4" t="str">
        <x:v>未报道</x:v>
      </x:c>
      <x:c r="L85" s="4" t="str">
        <x:v>IC50 = 3–16 μM（对6种人癌细胞系）</x:v>
      </x:c>
      <x:c r="M85" s="4" t="str">
        <x:v>未报道</x:v>
      </x:c>
      <x:c r="N85" s="4" t="str">
        <x:v>未报道</x:v>
      </x:c>
      <x:c r="O85" s="4" t="str">
        <x:v>Mele ´ndez-Gonza ´lez et al., Acremoxanthone E, a Novel Member of Heterodimeric Polyketides with a Bicyclo[3.2.2]nonene Ring, Produced by Acremonium camptosporum W. Gams (Clavicipitaceae) Endophytic Fungus, doi:</x:v>
      </x:c>
      <x:c r="P85" s="4" t="str"/>
    </x:row>
    <x:row r="86" ht="54" customHeight="1">
      <x:c r="A86" s="4" t="str">
        <x:v>acremonidin A (3)</x:v>
      </x:c>
      <x:c r="B86" s="4" t="str">
        <x:v>Methyl 2-{[(5aR,6S,13S)-6-(Acetyloxy)-5,6,12,13-tetrahydro-1,3,10,11-tetrahydroxy-8-methyl-12-oxo-5a,13-ethenobenzo[4,5]cyclohepta[1,2-b]naphthalen-2-yl]carbonyl}-3,6-dihydroxybenzoate</x:v>
      </x:c>
      <x:c r="C86" s="4" t="str">
        <x:v>聚酮类（异源二聚体，含二苯甲酮单元）</x:v>
      </x:c>
      <x:c r="D86" s="4" t="str">
        <x:v>微生物</x:v>
      </x:c>
      <x:c r="E86" s="4" t="str">
        <x:v>Acremonium camptosporum W. Gams (Clavicipitaceae) 内生真菌，分离自墨西哥Quintana Roo州Bursera simaruba叶</x:v>
      </x:c>
      <x:c r="F86" s="4" t="str">
        <x:v>Pythium aphanidermatum</x:v>
      </x:c>
      <x:c r="G86" s="4" t="str">
        <x:v>菌丝生长抑制</x:v>
      </x:c>
      <x:c r="H86" s="4" t="str">
        <x:v>IC50 = 20.0 ± 1.2 μM</x:v>
      </x:c>
      <x:c r="I86" s="4" t="str">
        <x:v>metalaxyl (mefenoxam)</x:v>
      </x:c>
      <x:c r="J86" s="4" t="str">
        <x:v>未报道</x:v>
      </x:c>
      <x:c r="K86" s="4" t="str">
        <x:v>未报道</x:v>
      </x:c>
      <x:c r="L86" s="4" t="str">
        <x:v>IC50 = 3–16 μM（对6种人癌细胞系）</x:v>
      </x:c>
      <x:c r="M86" s="4" t="str">
        <x:v>未报道</x:v>
      </x:c>
      <x:c r="N86" s="4" t="str">
        <x:v>未报道</x:v>
      </x:c>
      <x:c r="O86" s="4" t="str">
        <x:v>Mele ´ndez-Gonza ´lez et al., Acremoxanthone E, a Novel Member of Heterodimeric Polyketides with a Bicyclo[3.2.2]nonene Ring, Produced by Acremonium camptosporum W. Gams (Clavicipitaceae) Endophytic Fungus, doi:</x:v>
      </x:c>
      <x:c r="P86" s="4" t="str"/>
    </x:row>
    <x:row r="87" ht="54" customHeight="1">
      <x:c r="A87" s="4" t="str">
        <x:v>acremonidin A (3)</x:v>
      </x:c>
      <x:c r="B87" s="4" t="str">
        <x:v>Methyl 2-{[(5aR,6S,13S)-6-(Acetyloxy)-5,6,12,13-tetrahydro-1,3,10,11-tetrahydroxy-8-methyl-12-oxo-5a,13-ethenobenzo[4,5]cyclohepta[1,2-b]naphthalen-2-yl]carbonyl}-3,6-dihydroxybenzoate</x:v>
      </x:c>
      <x:c r="C87" s="4" t="str">
        <x:v>聚酮类（异源二聚体，含二苯甲酮单元）</x:v>
      </x:c>
      <x:c r="D87" s="4" t="str">
        <x:v>微生物</x:v>
      </x:c>
      <x:c r="E87" s="4" t="str">
        <x:v>Acremonium camptosporum W. Gams (Clavicipitaceae) 内生真菌，分离自墨西哥Quintana Roo州Bursera simaruba叶</x:v>
      </x:c>
      <x:c r="F87" s="4" t="str">
        <x:v>Phytophthora cinnamomi</x:v>
      </x:c>
      <x:c r="G87" s="4" t="str">
        <x:v>菌丝生长抑制</x:v>
      </x:c>
      <x:c r="H87" s="4" t="str">
        <x:v>IC50 = 15.0 ± 0.7 μM</x:v>
      </x:c>
      <x:c r="I87" s="4" t="str">
        <x:v>metalaxyl (mefenoxam)</x:v>
      </x:c>
      <x:c r="J87" s="4" t="str">
        <x:v>未报道</x:v>
      </x:c>
      <x:c r="K87" s="4" t="str">
        <x:v>未报道</x:v>
      </x:c>
      <x:c r="L87" s="4" t="str">
        <x:v>IC50 = 3–16 μM（对6种人癌细胞系）</x:v>
      </x:c>
      <x:c r="M87" s="4" t="str">
        <x:v>未报道</x:v>
      </x:c>
      <x:c r="N87" s="4" t="str">
        <x:v>未报道</x:v>
      </x:c>
      <x:c r="O87" s="4" t="str">
        <x:v>Mele ´ndez-Gonza ´lez et al., Acremoxanthone E, a Novel Member of Heterodimeric Polyketides with a Bicyclo[3.2.2]nonene Ring, Produced by Acremonium camptosporum W. Gams (Clavicipitaceae) Endophytic Fungus, doi:</x:v>
      </x:c>
      <x:c r="P87" s="4" t="str"/>
    </x:row>
    <x:row r="88" ht="54" customHeight="1">
      <x:c r="A88" s="4" t="str">
        <x:v>acremonidin A (3)</x:v>
      </x:c>
      <x:c r="B88" s="4" t="str">
        <x:v>Methyl 2-{[(5aR,6S,13S)-6-(Acetyloxy)-5,6,12,13-tetrahydro-1,3,10,11-tetrahydroxy-8-methyl-12-oxo-5a,13-ethenobenzo[4,5]cyclohepta[1,2-b]naphthalen-2-yl]carbonyl}-3,6-dihydroxybenzoate</x:v>
      </x:c>
      <x:c r="C88" s="4" t="str">
        <x:v>聚酮类（异源二聚体，含二苯甲酮单元）</x:v>
      </x:c>
      <x:c r="D88" s="4" t="str">
        <x:v>微生物</x:v>
      </x:c>
      <x:c r="E88" s="4" t="str">
        <x:v>Acremonium camptosporum W. Gams (Clavicipitaceae) 内生真菌，分离自墨西哥Quintana Roo州Bursera simaruba叶</x:v>
      </x:c>
      <x:c r="F88" s="4" t="str">
        <x:v>Phytophthora capsici</x:v>
      </x:c>
      <x:c r="G88" s="4" t="str">
        <x:v>菌丝生长抑制</x:v>
      </x:c>
      <x:c r="H88" s="4" t="str">
        <x:v>IC50 = 22.0 ± 1.3 μM</x:v>
      </x:c>
      <x:c r="I88" s="4" t="str">
        <x:v>metalaxyl (mefenoxam)</x:v>
      </x:c>
      <x:c r="J88" s="4" t="str">
        <x:v>未报道</x:v>
      </x:c>
      <x:c r="K88" s="4" t="str">
        <x:v>未报道</x:v>
      </x:c>
      <x:c r="L88" s="4" t="str">
        <x:v>IC50 = 3–16 μM（对6种人癌细胞系）</x:v>
      </x:c>
      <x:c r="M88" s="4" t="str">
        <x:v>未报道</x:v>
      </x:c>
      <x:c r="N88" s="4" t="str">
        <x:v>未报道</x:v>
      </x:c>
      <x:c r="O88" s="4" t="str">
        <x:v>Mele ´ndez-Gonza ´lez et al., Acremoxanthone E, a Novel Member of Heterodimeric Polyketides with a Bicyclo[3.2.2]nonene Ring, Produced by Acremonium camptosporum W. Gams (Clavicipitaceae) Endophytic Fungus, doi:</x:v>
      </x:c>
      <x:c r="P88" s="4" t="str"/>
    </x:row>
    <x:row r="89" ht="54" customHeight="1">
      <x:c r="A89" s="4" t="str">
        <x:v>acremonidin A (3)</x:v>
      </x:c>
      <x:c r="B89" s="4" t="str">
        <x:v>Methyl 2-{[(5aR,6S,13S)-6-(Acetyloxy)-5,6,12,13-tetrahydro-1,3,10,11-tetrahydroxy-8-methyl-12-oxo-5a,13-ethenobenzo[4,5]cyclohepta[1,2-b]naphthalen-2-yl]carbonyl}-3,6-dihydroxybenzoate</x:v>
      </x:c>
      <x:c r="C89" s="4" t="str">
        <x:v>聚酮类（异源二聚体，含二苯甲酮单元）</x:v>
      </x:c>
      <x:c r="D89" s="4" t="str">
        <x:v>微生物</x:v>
      </x:c>
      <x:c r="E89" s="4" t="str">
        <x:v>Acremonium camptosporum W. Gams (Clavicipitaceae) 内生真菌，分离自墨西哥Quintana Roo州Bursera simaruba叶</x:v>
      </x:c>
      <x:c r="F89" s="4" t="str">
        <x:v>Phytophthora parasitica</x:v>
      </x:c>
      <x:c r="G89" s="4" t="str">
        <x:v>菌丝生长抑制</x:v>
      </x:c>
      <x:c r="H89" s="4" t="str">
        <x:v>IC50 = 25.0 ± 1.5 μM</x:v>
      </x:c>
      <x:c r="I89" s="4" t="str">
        <x:v>metalaxyl (mefenoxam)</x:v>
      </x:c>
      <x:c r="J89" s="4" t="str">
        <x:v>未报道</x:v>
      </x:c>
      <x:c r="K89" s="4" t="str">
        <x:v>未报道</x:v>
      </x:c>
      <x:c r="L89" s="4" t="str">
        <x:v>IC50 = 3–16 μM（对6种人癌细胞系）</x:v>
      </x:c>
      <x:c r="M89" s="4" t="str">
        <x:v>未报道</x:v>
      </x:c>
      <x:c r="N89" s="4" t="str">
        <x:v>未报道</x:v>
      </x:c>
      <x:c r="O89" s="4" t="str">
        <x:v>Mele ´ndez-Gonza ´lez et al., Acremoxanthone E, a Novel Member of Heterodimeric Polyketides with a Bicyclo[3.2.2]nonene Ring, Produced by Acremonium camptosporum W. Gams (Clavicipitaceae) Endophytic Fungus, doi:</x:v>
      </x:c>
      <x:c r="P89" s="4" t="str"/>
    </x:row>
    <x:row r="90" ht="54" customHeight="1">
      <x:c r="A90" s="4" t="str">
        <x:v>acremonidin B (4)</x:v>
      </x:c>
      <x:c r="B90" s="4" t="str">
        <x:v>Methyl 3,6-Dihydroxy-2-{[(5aR,6S,13S)-5,6,12,13-tetrahydro-1,3,6,10,11-pentahydroxy-8-methyl-12-oxo-5a,13-ethenobenzo[4,5]cyclohepta[1,2-b]naphthalen-2-yl]carbonyl}benzoate</x:v>
      </x:c>
      <x:c r="C90" s="4" t="str">
        <x:v>聚酮类（异源二聚体，含二苯甲酮单元）</x:v>
      </x:c>
      <x:c r="D90" s="4" t="str">
        <x:v>微生物</x:v>
      </x:c>
      <x:c r="E90" s="4" t="str">
        <x:v>Acremonium camptosporum W. Gams (Clavicipitaceae) 内生真菌，分离自墨西哥Quintana Roo州Bursera simaruba叶</x:v>
      </x:c>
      <x:c r="F90" s="4" t="str">
        <x:v>Pythium aphanidermatum</x:v>
      </x:c>
      <x:c r="G90" s="4" t="str">
        <x:v>菌丝生长抑制</x:v>
      </x:c>
      <x:c r="H90" s="4" t="str">
        <x:v>IC50 = 21.0 ± 1.1 μM</x:v>
      </x:c>
      <x:c r="I90" s="4" t="str">
        <x:v>metalaxyl (mefenoxam)</x:v>
      </x:c>
      <x:c r="J90" s="4" t="str">
        <x:v>未报道</x:v>
      </x:c>
      <x:c r="K90" s="4" t="str">
        <x:v>未报道</x:v>
      </x:c>
      <x:c r="L90" s="4" t="str">
        <x:v>IC50 = 3–16 μM（对6种人癌细胞系）</x:v>
      </x:c>
      <x:c r="M90" s="4" t="str">
        <x:v>未报道</x:v>
      </x:c>
      <x:c r="N90" s="4" t="str">
        <x:v>未报道</x:v>
      </x:c>
      <x:c r="O90" s="4" t="str">
        <x:v>Mele ´ndez-Gonza ´lez et al., Acremoxanthone E, a Novel Member of Heterodimeric Polyketides with a Bicyclo[3.2.2]nonene Ring, Produced by Acremonium camptosporum W. Gams (Clavicipitaceae) Endophytic Fungus, doi:</x:v>
      </x:c>
      <x:c r="P90" s="4" t="str"/>
    </x:row>
    <x:row r="91" ht="54" customHeight="1">
      <x:c r="A91" s="4" t="str">
        <x:v>acremonidin B (4)</x:v>
      </x:c>
      <x:c r="B91" s="4" t="str">
        <x:v>Methyl 3,6-Dihydroxy-2-{[(5aR,6S,13S)-5,6,12,13-tetrahydro-1,3,6,10,11-pentahydroxy-8-methyl-12-oxo-5a,13-ethenobenzo[4,5]cyclohepta[1,2-b]naphthalen-2-yl]carbonyl}benzoate</x:v>
      </x:c>
      <x:c r="C91" s="4" t="str">
        <x:v>聚酮类（异源二聚体，含二苯甲酮单元）</x:v>
      </x:c>
      <x:c r="D91" s="4" t="str">
        <x:v>微生物</x:v>
      </x:c>
      <x:c r="E91" s="4" t="str">
        <x:v>Acremonium camptosporum W. Gams (Clavicipitaceae) 内生真菌，分离自墨西哥Quintana Roo州Bursera simaruba叶</x:v>
      </x:c>
      <x:c r="F91" s="4" t="str">
        <x:v>Phytophthora cinnamomi</x:v>
      </x:c>
      <x:c r="G91" s="4" t="str">
        <x:v>菌丝生长抑制</x:v>
      </x:c>
      <x:c r="H91" s="4" t="str">
        <x:v>IC50 = 16.0 ± 0.8 μM</x:v>
      </x:c>
      <x:c r="I91" s="4" t="str">
        <x:v>metalaxyl (mefenoxam)</x:v>
      </x:c>
      <x:c r="J91" s="4" t="str">
        <x:v>未报道</x:v>
      </x:c>
      <x:c r="K91" s="4" t="str">
        <x:v>未报道</x:v>
      </x:c>
      <x:c r="L91" s="4" t="str">
        <x:v>IC50 = 3–16 μM（对6种人癌细胞系）</x:v>
      </x:c>
      <x:c r="M91" s="4" t="str">
        <x:v>未报道</x:v>
      </x:c>
      <x:c r="N91" s="4" t="str">
        <x:v>未报道</x:v>
      </x:c>
      <x:c r="O91" s="4" t="str">
        <x:v>Mele ´ndez-Gonza ´lez et al., Acremoxanthone E, a Novel Member of Heterodimeric Polyketides with a Bicyclo[3.2.2]nonene Ring, Produced by Acremonium camptosporum W. Gams (Clavicipitaceae) Endophytic Fungus, doi:</x:v>
      </x:c>
      <x:c r="P91" s="4" t="str"/>
    </x:row>
    <x:row r="92" ht="54" customHeight="1">
      <x:c r="A92" s="4" t="str">
        <x:v>acremonidin B (4)</x:v>
      </x:c>
      <x:c r="B92" s="4" t="str">
        <x:v>Methyl 3,6-Dihydroxy-2-{[(5aR,6S,13S)-5,6,12,13-tetrahydro-1,3,6,10,11-pentahydroxy-8-methyl-12-oxo-5a,13-ethenobenzo[4,5]cyclohepta[1,2-b]naphthalen-2-yl]carbonyl}benzoate</x:v>
      </x:c>
      <x:c r="C92" s="4" t="str">
        <x:v>聚酮类（异源二聚体，含二苯甲酮单元）</x:v>
      </x:c>
      <x:c r="D92" s="4" t="str">
        <x:v>微生物</x:v>
      </x:c>
      <x:c r="E92" s="4" t="str">
        <x:v>Acremonium camptosporum W. Gams (Clavicipitaceae) 内生真菌，分离自墨西哥Quintana Roo州Bursera simaruba叶</x:v>
      </x:c>
      <x:c r="F92" s="4" t="str">
        <x:v>Phytophthora capsici</x:v>
      </x:c>
      <x:c r="G92" s="4" t="str">
        <x:v>菌丝生长抑制</x:v>
      </x:c>
      <x:c r="H92" s="4" t="str">
        <x:v>IC50 = 23.0 ± 1.4 μM</x:v>
      </x:c>
      <x:c r="I92" s="4" t="str">
        <x:v>metalaxyl (mefenoxam)</x:v>
      </x:c>
      <x:c r="J92" s="4" t="str">
        <x:v>未报道</x:v>
      </x:c>
      <x:c r="K92" s="4" t="str">
        <x:v>未报道</x:v>
      </x:c>
      <x:c r="L92" s="4" t="str">
        <x:v>IC50 = 3–16 μM（对6种人癌细胞系）</x:v>
      </x:c>
      <x:c r="M92" s="4" t="str">
        <x:v>未报道</x:v>
      </x:c>
      <x:c r="N92" s="4" t="str">
        <x:v>未报道</x:v>
      </x:c>
      <x:c r="O92" s="4" t="str">
        <x:v>Mele ´ndez-Gonza ´lez et al., Acremoxanthone E, a Novel Member of Heterodimeric Polyketides with a Bicyclo[3.2.2]nonene Ring, Produced by Acremonium camptosporum W. Gams (Clavicipitaceae) Endophytic Fungus, doi:</x:v>
      </x:c>
      <x:c r="P92" s="4" t="str"/>
    </x:row>
    <x:row r="93" ht="54" customHeight="1">
      <x:c r="A93" s="4" t="str">
        <x:v>acremonidin B (4)</x:v>
      </x:c>
      <x:c r="B93" s="4" t="str">
        <x:v>Methyl 3,6-Dihydroxy-2-{[(5aR,6S,13S)-5,6,12,13-tetrahydro-1,3,6,10,11-pentahydroxy-8-methyl-12-oxo-5a,13-ethenobenzo[4,5]cyclohepta[1,2-b]naphthalen-2-yl]carbonyl}benzoate</x:v>
      </x:c>
      <x:c r="C93" s="4" t="str">
        <x:v>聚酮类（异源二聚体，含二苯甲酮单元）</x:v>
      </x:c>
      <x:c r="D93" s="4" t="str">
        <x:v>微生物</x:v>
      </x:c>
      <x:c r="E93" s="4" t="str">
        <x:v>Acremonium camptosporum W. Gams (Clavicipitaceae) 内生真菌，分离自墨西哥Quintana Roo州Bursera simaruba叶</x:v>
      </x:c>
      <x:c r="F93" s="4" t="str">
        <x:v>Phytophthora parasitica</x:v>
      </x:c>
      <x:c r="G93" s="4" t="str">
        <x:v>菌丝生长抑制</x:v>
      </x:c>
      <x:c r="H93" s="4" t="str">
        <x:v>IC50 = 26.0 ± 1.6 μM</x:v>
      </x:c>
      <x:c r="I93" s="4" t="str">
        <x:v>metalaxyl (mefenoxam)</x:v>
      </x:c>
      <x:c r="J93" s="4" t="str">
        <x:v>未报道</x:v>
      </x:c>
      <x:c r="K93" s="4" t="str">
        <x:v>未报道</x:v>
      </x:c>
      <x:c r="L93" s="4" t="str">
        <x:v>IC50 = 3–16 μM（对6种人癌细胞系）</x:v>
      </x:c>
      <x:c r="M93" s="4" t="str">
        <x:v>未报道</x:v>
      </x:c>
      <x:c r="N93" s="4" t="str">
        <x:v>未报道</x:v>
      </x:c>
      <x:c r="O93" s="4" t="str">
        <x:v>Mele ´ndez-Gonza ´lez et al., Acremoxanthone E, a Novel Member of Heterodimeric Polyketides with a Bicyclo[3.2.2]nonene Ring, Produced by Acremonium camptosporum W. Gams (Clavicipitaceae) Endophytic Fungus, doi:</x:v>
      </x:c>
      <x:c r="P93" s="4" t="str"/>
    </x:row>
    <x:row r="94" ht="54" customHeight="1">
      <x:c r="A94" s="4" t="str">
        <x:v>compound 3</x:v>
      </x:c>
      <x:c r="B94" s="4" t="str">
        <x:v>N-(2-benzoylhydrazine-1-carbonothioyl)cyclopropanecarboxamide</x:v>
      </x:c>
      <x:c r="C94" s="4" t="str">
        <x:v>硫脲类（酰基硫脲）</x:v>
      </x:c>
      <x:c r="D94" s="4" t="str">
        <x:v>化学合成</x:v>
      </x:c>
      <x:c r="E94" s="4" t="str">
        <x:v>以环丙烷甲酰氯、硫氰酸铵和苯甲酰肼为原料，乙腈中一锅法合成</x:v>
      </x:c>
      <x:c r="F94" s="4" t="str">
        <x:v>Phytophthora infestans GL-1</x:v>
      </x:c>
      <x:c r="G94" s="4" t="str">
        <x:v>菌丝生长抑制</x:v>
      </x:c>
      <x:c r="H94" s="4" t="str">
        <x:v>50 μg/mL 抑制率89.3%；25 μg/mL 抑制率90.0%；10 μg/mL 抑制率52.6%</x:v>
      </x:c>
      <x:c r="I94" s="4" t="str">
        <x:v>hymexazol（50 μg/mL 抑制率51.5%）</x:v>
      </x:c>
      <x:c r="J94" s="4" t="str">
        <x:v>14α-去甲基酶（CYP51）、N-肉豆蔻酰基转移酶（NMT）</x:v>
      </x:c>
      <x:c r="K94" s="4" t="str">
        <x:v>分子对接</x:v>
      </x:c>
      <x:c r="L94" s="4" t="str">
        <x:v>未测试</x:v>
      </x:c>
      <x:c r="M94" s="4" t="str">
        <x:v>未报道</x:v>
      </x:c>
      <x:c r="N94" s="4" t="str">
        <x:v>与化合物5、6复配（各16.6或50 μg/mL）对P. infestans p-3的抑制率提升至90%以上</x:v>
      </x:c>
      <x:c r="O94" s="4" t="str">
        <x:v>Antypenko et al., 2019, Arch. Pharm., 10.1002/ardp.201800275</x:v>
      </x:c>
      <x:c r="P94" s="4" t="str"/>
    </x:row>
    <x:row r="95" ht="54" customHeight="1">
      <x:c r="A95" s="4" t="str">
        <x:v>compound 3</x:v>
      </x:c>
      <x:c r="B95" s="4" t="str">
        <x:v>N-(2-benzoylhydrazine-1-carbonothioyl)cyclopropanecarboxamide</x:v>
      </x:c>
      <x:c r="C95" s="4" t="str">
        <x:v>硫脲类（酰基硫脲）</x:v>
      </x:c>
      <x:c r="D95" s="4" t="str">
        <x:v>化学合成</x:v>
      </x:c>
      <x:c r="E95" s="4" t="str">
        <x:v>以环丙烷甲酰氯、硫氰酸铵和苯甲酰肼为原料，乙腈中一锅法合成</x:v>
      </x:c>
      <x:c r="F95" s="4" t="str">
        <x:v>Phytophthora infestans p-3</x:v>
      </x:c>
      <x:c r="G95" s="4" t="str">
        <x:v>菌丝生长抑制</x:v>
      </x:c>
      <x:c r="H95" s="4" t="str">
        <x:v>50 μg/mL 抑制率89.9%；25 μg/mL 抑制率67.4%；10 μg/mL 抑制率55.0%</x:v>
      </x:c>
      <x:c r="I95" s="4" t="str">
        <x:v>hymexazol（50 μg/mL 抑制率6.2%）</x:v>
      </x:c>
      <x:c r="J95" s="4" t="str">
        <x:v>14α-去甲基酶（CYP51）、N-肉豆蔻酰基转移酶（NMT）</x:v>
      </x:c>
      <x:c r="K95" s="4" t="str">
        <x:v>分子对接</x:v>
      </x:c>
      <x:c r="L95" s="4" t="str">
        <x:v>未测试</x:v>
      </x:c>
      <x:c r="M95" s="4" t="str">
        <x:v>未报道</x:v>
      </x:c>
      <x:c r="N95" s="4" t="str">
        <x:v>与化合物5、6复配（各16.6或50 μg/mL）对P. infestans p-3的抑制率提升至90%以上</x:v>
      </x:c>
      <x:c r="O95" s="4" t="str">
        <x:v>Antypenko et al., 2019, Arch. Pharm., 10.1002/ardp.201800275</x:v>
      </x:c>
      <x:c r="P95" s="4" t="str"/>
    </x:row>
    <x:row r="96" ht="54" customHeight="1">
      <x:c r="A96" s="4" t="str">
        <x:v>compound 3</x:v>
      </x:c>
      <x:c r="B96" s="4" t="str">
        <x:v>N-(2-benzoylhydrazine-1-carbonothioyl)cyclopropanecarboxamide</x:v>
      </x:c>
      <x:c r="C96" s="4" t="str">
        <x:v>硫脲类（酰基硫脲）</x:v>
      </x:c>
      <x:c r="D96" s="4" t="str">
        <x:v>化学合成</x:v>
      </x:c>
      <x:c r="E96" s="4" t="str">
        <x:v>以环丙烷甲酰氯、硫氰酸铵和苯甲酰肼为原料，乙腈中一锅法合成</x:v>
      </x:c>
      <x:c r="F96" s="4" t="str">
        <x:v>Phytophthora infestans p-4</x:v>
      </x:c>
      <x:c r="G96" s="4" t="str">
        <x:v>菌丝生长抑制</x:v>
      </x:c>
      <x:c r="H96" s="4" t="str">
        <x:v>50 μg/mL 抑制率94.8%；25 μg/mL 抑制率61.8%；10 μg/mL 抑制率91.4%</x:v>
      </x:c>
      <x:c r="I96" s="4" t="str">
        <x:v>hymexazol（50 μg/mL 抑制率2.8%）</x:v>
      </x:c>
      <x:c r="J96" s="4" t="str">
        <x:v>14α-去甲基酶（CYP51）、N-肉豆蔻酰基转移酶（NMT）</x:v>
      </x:c>
      <x:c r="K96" s="4" t="str">
        <x:v>分子对接</x:v>
      </x:c>
      <x:c r="L96" s="4" t="str">
        <x:v>未测试</x:v>
      </x:c>
      <x:c r="M96" s="4" t="str">
        <x:v>未报道</x:v>
      </x:c>
      <x:c r="N96" s="4" t="str">
        <x:v>与化合物5、6复配（各16.6或50 μg/mL）对P. infestans p-4的抑制率提升至90%以上</x:v>
      </x:c>
      <x:c r="O96" s="4" t="str">
        <x:v>Antypenko et al., 2019, Arch. Pharm., 10.1002/ardp.201800275</x:v>
      </x:c>
      <x:c r="P96" s="4" t="str"/>
    </x:row>
    <x:row r="97" ht="54" customHeight="1">
      <x:c r="A97" s="4" t="str">
        <x:v>compound 5</x:v>
      </x:c>
      <x:c r="B97" s="4" t="str">
        <x:v>N-(2-(4-(methylenedioxy)benzoyl)hydrazine-1-carbonothioyl)cyclopropanecarboxamide</x:v>
      </x:c>
      <x:c r="C97" s="4" t="str">
        <x:v>硫脲类（酰基硫脲）</x:v>
      </x:c>
      <x:c r="D97" s="4" t="str">
        <x:v>化学合成</x:v>
      </x:c>
      <x:c r="E97" s="4" t="str">
        <x:v>以环丙烷甲酰氯、硫氰酸铵和4-(亚甲二氧基)苯甲酰肼为原料，乙腈中一锅法合成</x:v>
      </x:c>
      <x:c r="F97" s="4" t="str">
        <x:v>Phytophthora infestans GL-1</x:v>
      </x:c>
      <x:c r="G97" s="4" t="str">
        <x:v>菌丝生长抑制</x:v>
      </x:c>
      <x:c r="H97" s="4" t="str">
        <x:v>50 μg/mL 抑制率85.9%；25 μg/mL 抑制率81.0%；10 μg/mL 抑制率38.6%</x:v>
      </x:c>
      <x:c r="I97" s="4" t="str">
        <x:v>hymexazol（50 μg/mL 抑制率51.5%）</x:v>
      </x:c>
      <x:c r="J97" s="4" t="str">
        <x:v>14α-去甲基酶（CYP51）、N-肉豆蔻酰基转移酶（NMT）</x:v>
      </x:c>
      <x:c r="K97" s="4" t="str">
        <x:v>分子对接</x:v>
      </x:c>
      <x:c r="L97" s="4" t="str">
        <x:v>未测试</x:v>
      </x:c>
      <x:c r="M97" s="4" t="str">
        <x:v>未报道</x:v>
      </x:c>
      <x:c r="N97" s="4" t="str">
        <x:v>与化合物3、6复配（各16.6或50 μg/mL）对P. infestans GL-1的抑制率提升至90%以上</x:v>
      </x:c>
      <x:c r="O97" s="4" t="str">
        <x:v>Antypenko et al., 2019, Arch. Pharm., 10.1002/ardp.201800275</x:v>
      </x:c>
      <x:c r="P97" s="4" t="str"/>
    </x:row>
    <x:row r="98" ht="54" customHeight="1">
      <x:c r="A98" s="4" t="str">
        <x:v>compound 5</x:v>
      </x:c>
      <x:c r="B98" s="4" t="str">
        <x:v>N-(2-(4-(methylenedioxy)benzoyl)hydrazine-1-carbonothioyl)cyclopropanecarboxamide</x:v>
      </x:c>
      <x:c r="C98" s="4" t="str">
        <x:v>硫脲类（酰基硫脲）</x:v>
      </x:c>
      <x:c r="D98" s="4" t="str">
        <x:v>化学合成</x:v>
      </x:c>
      <x:c r="E98" s="4" t="str">
        <x:v>以环丙烷甲酰氯、硫氰酸铵和4-(亚甲二氧基)苯甲酰肼为原料，乙腈中一锅法合成</x:v>
      </x:c>
      <x:c r="F98" s="4" t="str">
        <x:v>Phytophthora infestans p-3</x:v>
      </x:c>
      <x:c r="G98" s="4" t="str">
        <x:v>菌丝生长抑制</x:v>
      </x:c>
      <x:c r="H98" s="4" t="str">
        <x:v>50 μg/mL 抑制率89.0%；25 μg/mL 抑制率67.4%；10 μg/mL 抑制率38.5%</x:v>
      </x:c>
      <x:c r="I98" s="4" t="str">
        <x:v>hymexazol（50 μg/mL 抑制率6.2%）</x:v>
      </x:c>
      <x:c r="J98" s="4" t="str">
        <x:v>14α-去甲基酶（CYP51）、N-肉豆蔻酰基转移酶（NMT）</x:v>
      </x:c>
      <x:c r="K98" s="4" t="str">
        <x:v>分子对接</x:v>
      </x:c>
      <x:c r="L98" s="4" t="str">
        <x:v>未测试</x:v>
      </x:c>
      <x:c r="M98" s="4" t="str">
        <x:v>未报道</x:v>
      </x:c>
      <x:c r="N98" s="4" t="str">
        <x:v>与化合物3、6复配（各16.6或50 μg/mL）对P. infestans p-3的抑制率提升至90%以上</x:v>
      </x:c>
      <x:c r="O98" s="4" t="str">
        <x:v>Antypenko et al., 2019, Arch. Pharm., 10.1002/ardp.201800275</x:v>
      </x:c>
      <x:c r="P98" s="4" t="str"/>
    </x:row>
    <x:row r="99" ht="54" customHeight="1">
      <x:c r="A99" s="4" t="str">
        <x:v>compound 5</x:v>
      </x:c>
      <x:c r="B99" s="4" t="str">
        <x:v>N-(2-(4-(methylenedioxy)benzoyl)hydrazine-1-carbonothioyl)cyclopropanecarboxamide</x:v>
      </x:c>
      <x:c r="C99" s="4" t="str">
        <x:v>硫脲类（酰基硫脲）</x:v>
      </x:c>
      <x:c r="D99" s="4" t="str">
        <x:v>化学合成</x:v>
      </x:c>
      <x:c r="E99" s="4" t="str">
        <x:v>以环丙烷甲酰氯、硫氰酸铵和4-(亚甲二氧基)苯甲酰肼为原料，乙腈中一锅法合成</x:v>
      </x:c>
      <x:c r="F99" s="4" t="str">
        <x:v>Phytophthora infestans p-4</x:v>
      </x:c>
      <x:c r="G99" s="4" t="str">
        <x:v>菌丝生长抑制</x:v>
      </x:c>
      <x:c r="H99" s="4" t="str">
        <x:v>50 μg/mL 抑制率79.0%；25 μg/mL 抑制率15.4%；10 μg/mL 抑制率79.6%</x:v>
      </x:c>
      <x:c r="I99" s="4" t="str">
        <x:v>hymexazol（50 μg/mL 抑制率2.8%）</x:v>
      </x:c>
      <x:c r="J99" s="4" t="str">
        <x:v>14α-去甲基酶（CYP51）、N-肉豆蔻酰基转移酶（NMT）</x:v>
      </x:c>
      <x:c r="K99" s="4" t="str">
        <x:v>分子对接</x:v>
      </x:c>
      <x:c r="L99" s="4" t="str">
        <x:v>未测试</x:v>
      </x:c>
      <x:c r="M99" s="4" t="str">
        <x:v>未报道</x:v>
      </x:c>
      <x:c r="N99" s="4" t="str">
        <x:v>与化合物3、6复配（各16.6或50 μg/mL）对P. infestans p-4的抑制率提升至90%以上</x:v>
      </x:c>
      <x:c r="O99" s="4" t="str">
        <x:v>Antypenko et al., 2019, Arch. Pharm., 10.1002/ardp.201800275</x:v>
      </x:c>
      <x:c r="P99" s="4" t="str"/>
    </x:row>
    <x:row r="100" ht="54" customHeight="1">
      <x:c r="A100" s="4" t="str">
        <x:v>compound 6</x:v>
      </x:c>
      <x:c r="B100" s="4" t="str">
        <x:v>N-(2-(4-(methylthio)benzoyl)hydrazine-1-carbonothioyl)cyclopropanecarboxamide</x:v>
      </x:c>
      <x:c r="C100" s="4" t="str">
        <x:v>硫脲类（酰基硫脲）</x:v>
      </x:c>
      <x:c r="D100" s="4" t="str">
        <x:v>化学合成</x:v>
      </x:c>
      <x:c r="E100" s="4" t="str">
        <x:v>以环丙烷甲酰氯、硫氰酸铵和4-(甲硫基)苯甲酰肼为原料，乙腈中一锅法合成</x:v>
      </x:c>
      <x:c r="F100" s="4" t="str">
        <x:v>Phytophthora infestans GL-1</x:v>
      </x:c>
      <x:c r="G100" s="4" t="str">
        <x:v>菌丝生长抑制</x:v>
      </x:c>
      <x:c r="H100" s="4" t="str">
        <x:v>50 μg/mL 抑制率92.1%；25 μg/mL 抑制率74.1%；10 μg/mL 抑制率78.8%</x:v>
      </x:c>
      <x:c r="I100" s="4" t="str">
        <x:v>hymexazol（50 μg/mL 抑制率51.5%）</x:v>
      </x:c>
      <x:c r="J100" s="4" t="str">
        <x:v>未明确提及</x:v>
      </x:c>
      <x:c r="K100" s="4" t="str">
        <x:v>未进行实验验证</x:v>
      </x:c>
      <x:c r="L100" s="4" t="str">
        <x:v>未测试</x:v>
      </x:c>
      <x:c r="M100" s="4" t="str">
        <x:v>未报道</x:v>
      </x:c>
      <x:c r="N100" s="4" t="str">
        <x:v>与化合物3、5复配（各16.6或50 μg/mL）对P. infestans GL-1的抑制率提升至90%以上</x:v>
      </x:c>
      <x:c r="O100" s="4" t="str">
        <x:v>Antypenko et al., 2019, Arch. Pharm., 10.1002/ardp.201800275</x:v>
      </x:c>
      <x:c r="P100" s="4" t="str"/>
    </x:row>
    <x:row r="101" ht="54" customHeight="1">
      <x:c r="A101" s="4" t="str">
        <x:v>compound 6</x:v>
      </x:c>
      <x:c r="B101" s="4" t="str">
        <x:v>N-(2-(4-(methylthio)benzoyl)hydrazine-1-carbonothioyl)cyclopropanecarboxamide</x:v>
      </x:c>
      <x:c r="C101" s="4" t="str">
        <x:v>硫脲类（酰基硫脲）</x:v>
      </x:c>
      <x:c r="D101" s="4" t="str">
        <x:v>化学合成</x:v>
      </x:c>
      <x:c r="E101" s="4" t="str">
        <x:v>以环丙烷甲酰氯、硫氰酸铵和4-(甲硫基)苯甲酰肼为原料，乙腈中一锅法合成</x:v>
      </x:c>
      <x:c r="F101" s="4" t="str">
        <x:v>Phytophthora infestans p-3</x:v>
      </x:c>
      <x:c r="G101" s="4" t="str">
        <x:v>菌丝生长抑制</x:v>
      </x:c>
      <x:c r="H101" s="4" t="str">
        <x:v>50 μg/mL 抑制率50.9%；25 μg/mL 抑制率46.7%；10 μg/mL 抑制率84.5%</x:v>
      </x:c>
      <x:c r="I101" s="4" t="str">
        <x:v>hymexazol（50 μg/mL 抑制率6.2%）</x:v>
      </x:c>
      <x:c r="J101" s="4" t="str">
        <x:v>未明确提及</x:v>
      </x:c>
      <x:c r="K101" s="4" t="str">
        <x:v>未进行实验验证</x:v>
      </x:c>
      <x:c r="L101" s="4" t="str">
        <x:v>未测试</x:v>
      </x:c>
      <x:c r="M101" s="4" t="str">
        <x:v>未报道</x:v>
      </x:c>
      <x:c r="N101" s="4" t="str">
        <x:v>与化合物3、5复配（各16.6或50 μg/mL）对P. infestans p-3的抑制率提升至90%以上</x:v>
      </x:c>
      <x:c r="O101" s="4" t="str">
        <x:v>Antypenko et al., 2019, Arch. Pharm., 10.1002/ardp.201800275</x:v>
      </x:c>
      <x:c r="P101" s="4" t="str"/>
    </x:row>
    <x:row r="102" ht="54" customHeight="1">
      <x:c r="A102" s="4" t="str">
        <x:v>compound 6</x:v>
      </x:c>
      <x:c r="B102" s="4" t="str">
        <x:v>N-(2-(4-(methylthio)benzoyl)hydrazine-1-carbonothioyl)cyclopropanecarboxamide</x:v>
      </x:c>
      <x:c r="C102" s="4" t="str">
        <x:v>硫脲类（酰基硫脲）</x:v>
      </x:c>
      <x:c r="D102" s="4" t="str">
        <x:v>化学合成</x:v>
      </x:c>
      <x:c r="E102" s="4" t="str">
        <x:v>以环丙烷甲酰氯、硫氰酸铵和4-(甲硫基)苯甲酰肼为原料，乙腈中一锅法合成</x:v>
      </x:c>
      <x:c r="F102" s="4" t="str">
        <x:v>Phytophthora infestans p-4</x:v>
      </x:c>
      <x:c r="G102" s="4" t="str">
        <x:v>菌丝生长抑制</x:v>
      </x:c>
      <x:c r="H102" s="4" t="str">
        <x:v>50 μg/mL 抑制率75.6%；25 μg/mL 抑制率72.3%；10 μg/mL 抑制率100%</x:v>
      </x:c>
      <x:c r="I102" s="4" t="str">
        <x:v>hymexazol（50 μg/mL 抑制率2.8%）</x:v>
      </x:c>
      <x:c r="J102" s="4" t="str">
        <x:v>未明确提及</x:v>
      </x:c>
      <x:c r="K102" s="4" t="str">
        <x:v>未进行实验验证</x:v>
      </x:c>
      <x:c r="L102" s="4" t="str">
        <x:v>未测试</x:v>
      </x:c>
      <x:c r="M102" s="4" t="str">
        <x:v>未报道</x:v>
      </x:c>
      <x:c r="N102" s="4" t="str">
        <x:v>与化合物3、5复配（各16.6或50 μg/mL）对P. infestans p-4的抑制率提升至90%以上</x:v>
      </x:c>
      <x:c r="O102" s="4" t="str">
        <x:v>Antypenko et al., 2019, Arch. Pharm., 10.1002/ardp.201800275</x:v>
      </x:c>
      <x:c r="P102" s="4" t="str"/>
    </x:row>
    <x:row r="103" ht="54" customHeight="1">
      <x:c r="A103" s="4" t="str">
        <x:v>compound 9</x:v>
      </x:c>
      <x:c r="B103" s="4" t="str">
        <x:v>N-(2-carbamothioylhydrazine-1-carbonothioyl)cyclopropanecarboxamide</x:v>
      </x:c>
      <x:c r="C103" s="4" t="str">
        <x:v>硫脲类（酰基硫脲）</x:v>
      </x:c>
      <x:c r="D103" s="4" t="str">
        <x:v>化学合成</x:v>
      </x:c>
      <x:c r="E103" s="4" t="str">
        <x:v>以环丙烷甲酰氯、硫氰酸铵和硫代氨基脲为原料，乙腈中一锅法合成</x:v>
      </x:c>
      <x:c r="F103" s="4" t="str">
        <x:v>Phytophthora infestans GL-1</x:v>
      </x:c>
      <x:c r="G103" s="4" t="str">
        <x:v>菌丝生长抑制</x:v>
      </x:c>
      <x:c r="H103" s="4" t="str">
        <x:v>50 μg/mL 抑制率20.6%；25 μg/mL 抑制率25.6%；10 μg/mL 抑制率40.5%</x:v>
      </x:c>
      <x:c r="I103" s="4" t="str">
        <x:v>hymexazol（50 μg/mL 抑制率51.5%）</x:v>
      </x:c>
      <x:c r="J103" s="4" t="str">
        <x:v>未明确提及</x:v>
      </x:c>
      <x:c r="K103" s="4" t="str">
        <x:v>未进行实验验证</x:v>
      </x:c>
      <x:c r="L103" s="4" t="str">
        <x:v>未测试</x:v>
      </x:c>
      <x:c r="M103" s="4" t="str">
        <x:v>未报道</x:v>
      </x:c>
      <x:c r="N103" s="4" t="str">
        <x:v>未报道</x:v>
      </x:c>
      <x:c r="O103" s="4" t="str">
        <x:v>Antypenko et al., 2019, Arch. Pharm., 10.1002/ardp.201800275</x:v>
      </x:c>
      <x:c r="P103" s="4" t="str"/>
    </x:row>
    <x:row r="104" ht="54" customHeight="1">
      <x:c r="A104" s="4" t="str">
        <x:v>compound 9</x:v>
      </x:c>
      <x:c r="B104" s="4" t="str">
        <x:v>N-(2-carbamothioylhydrazine-1-carbonothioyl)cyclopropanecarboxamide</x:v>
      </x:c>
      <x:c r="C104" s="4" t="str">
        <x:v>硫脲类（酰基硫脲）</x:v>
      </x:c>
      <x:c r="D104" s="4" t="str">
        <x:v>化学合成</x:v>
      </x:c>
      <x:c r="E104" s="4" t="str">
        <x:v>以环丙烷甲酰氯、硫氰酸铵和硫代氨基脲为原料，乙腈中一锅法合成</x:v>
      </x:c>
      <x:c r="F104" s="4" t="str">
        <x:v>Phytophthora infestans p-3</x:v>
      </x:c>
      <x:c r="G104" s="4" t="str">
        <x:v>菌丝生长抑制</x:v>
      </x:c>
      <x:c r="H104" s="4" t="str">
        <x:v>50 μg/mL 抑制率23.5%；25 μg/mL 抑制率-7.3%；10 μg/mL 抑制率3.6%</x:v>
      </x:c>
      <x:c r="I104" s="4" t="str">
        <x:v>hymexazol（50 μg/mL 抑制率6.2%）</x:v>
      </x:c>
      <x:c r="J104" s="4" t="str">
        <x:v>未明确提及</x:v>
      </x:c>
      <x:c r="K104" s="4" t="str">
        <x:v>未进行实验验证</x:v>
      </x:c>
      <x:c r="L104" s="4" t="str">
        <x:v>未测试</x:v>
      </x:c>
      <x:c r="M104" s="4" t="str">
        <x:v>未报道</x:v>
      </x:c>
      <x:c r="N104" s="4" t="str">
        <x:v>未报道</x:v>
      </x:c>
      <x:c r="O104" s="4" t="str">
        <x:v>Antypenko et al., 2019, Arch. Pharm., 10.1002/ardp.201800275</x:v>
      </x:c>
      <x:c r="P104" s="4" t="str"/>
    </x:row>
    <x:row r="105" ht="54" customHeight="1">
      <x:c r="A105" s="4" t="str">
        <x:v>compound 9</x:v>
      </x:c>
      <x:c r="B105" s="4" t="str">
        <x:v>N-(2-carbamothioylhydrazine-1-carbonothioyl)cyclopropanecarboxamide</x:v>
      </x:c>
      <x:c r="C105" s="4" t="str">
        <x:v>硫脲类（酰基硫脲）</x:v>
      </x:c>
      <x:c r="D105" s="4" t="str">
        <x:v>化学合成</x:v>
      </x:c>
      <x:c r="E105" s="4" t="str">
        <x:v>以环丙烷甲酰氯、硫氰酸铵和硫代氨基脲为原料，乙腈中一锅法合成</x:v>
      </x:c>
      <x:c r="F105" s="4" t="str">
        <x:v>Phytophthora infestans p-4</x:v>
      </x:c>
      <x:c r="G105" s="4" t="str">
        <x:v>菌丝生长抑制</x:v>
      </x:c>
      <x:c r="H105" s="4" t="str">
        <x:v>50 μg/mL 抑制率0%；25 μg/mL 抑制率0%；10 μg/mL 抑制率0%</x:v>
      </x:c>
      <x:c r="I105" s="4" t="str">
        <x:v>hymexazol（50 μg/mL 抑制率2.8%）</x:v>
      </x:c>
      <x:c r="J105" s="4" t="str">
        <x:v>未明确提及</x:v>
      </x:c>
      <x:c r="K105" s="4" t="str">
        <x:v>未进行实验验证</x:v>
      </x:c>
      <x:c r="L105" s="4" t="str">
        <x:v>未测试</x:v>
      </x:c>
      <x:c r="M105" s="4" t="str">
        <x:v>未报道</x:v>
      </x:c>
      <x:c r="N105" s="4" t="str">
        <x:v>未报道</x:v>
      </x:c>
      <x:c r="O105" s="4" t="str">
        <x:v>Antypenko et al., 2019, Arch. Pharm., 10.1002/ardp.201800275</x:v>
      </x:c>
      <x:c r="P105" s="4" t="str"/>
    </x:row>
    <x:row r="106" ht="54" customHeight="1">
      <x:c r="A106" s="4" t="str">
        <x:v>metribuzin</x:v>
      </x:c>
      <x:c r="B106" s="4" t="str">
        <x:v>Metribuzin</x:v>
      </x:c>
      <x:c r="C106" s="4" t="str">
        <x:v>三嗪酮类</x:v>
      </x:c>
      <x:c r="D106" s="4" t="str">
        <x:v>商品化</x:v>
      </x:c>
      <x:c r="E106" s="4" t="str">
        <x:v>商品化除草剂，WSSA Group 5（PSII抑制剂）</x:v>
      </x:c>
      <x:c r="F106" s="4" t="str">
        <x:v>Pythium spp.</x:v>
      </x:c>
      <x:c r="G106" s="4" t="str">
        <x:v>离体茎段接种分离鉴定</x:v>
      </x:c>
      <x:c r="H106" s="4" t="str">
        <x:v>对Pythium根腐病严重度无显著影响（p=0.8519, 0.5558, 0.9418等）</x:v>
      </x:c>
      <x:c r="I106" s="4" t="str">
        <x:v>未使用阳性对照药剂</x:v>
      </x:c>
      <x:c r="J106" s="4" t="str">
        <x:v>无直接抗卵菌活性报道</x:v>
      </x:c>
      <x:c r="K106" s="4" t="str">
        <x:v>菌丝分离与DNA测序鉴定</x:v>
      </x:c>
      <x:c r="L106" s="4" t="str">
        <x:v>未测试</x:v>
      </x:c>
      <x:c r="M106" s="4" t="str">
        <x:v>未报道</x:v>
      </x:c>
      <x:c r="N106" s="4" t="str">
        <x:v>未测试</x:v>
      </x:c>
      <x:c r="O106" s="4" t="str">
        <x:v>Grant Lawson Priess et al., 2021, Agronomy Journal, 10.1002/agj2.20396</x:v>
      </x:c>
      <x:c r="P106" s="4" t="str"/>
    </x:row>
    <x:row r="107" ht="54" customHeight="1">
      <x:c r="A107" s="4" t="str">
        <x:v>metribuzin</x:v>
      </x:c>
      <x:c r="B107" s="4" t="str">
        <x:v>Metribuzin</x:v>
      </x:c>
      <x:c r="C107" s="4" t="str">
        <x:v>三嗪酮类</x:v>
      </x:c>
      <x:c r="D107" s="4" t="str">
        <x:v>商品化</x:v>
      </x:c>
      <x:c r="E107" s="4" t="str">
        <x:v>商品化除草剂，WSSA Group 5（PSII抑制剂）</x:v>
      </x:c>
      <x:c r="F107" s="4" t="str">
        <x:v>Phytophthora spp.</x:v>
      </x:c>
      <x:c r="G107" s="4" t="str">
        <x:v>离体茎段接种分离鉴定</x:v>
      </x:c>
      <x:c r="H107" s="4" t="str">
        <x:v>未检测到Phytophthora属卵菌</x:v>
      </x:c>
      <x:c r="I107" s="4" t="str">
        <x:v>未使用阳性对照药剂</x:v>
      </x:c>
      <x:c r="J107" s="4" t="str">
        <x:v>无直接抗卵菌活性报道</x:v>
      </x:c>
      <x:c r="K107" s="4" t="str">
        <x:v>菌丝分离与DNA测序鉴定</x:v>
      </x:c>
      <x:c r="L107" s="4" t="str">
        <x:v>未测试</x:v>
      </x:c>
      <x:c r="M107" s="4" t="str">
        <x:v>未报道</x:v>
      </x:c>
      <x:c r="N107" s="4" t="str">
        <x:v>未测试</x:v>
      </x:c>
      <x:c r="O107" s="4" t="str">
        <x:v>Grant Lawson Priess et al., 2021, Agronomy Journal, 10.1002/agj2.20396</x:v>
      </x:c>
      <x:c r="P107" s="4" t="str"/>
    </x:row>
    <x:row r="108" ht="54" customHeight="1">
      <x:c r="A108" s="4" t="str">
        <x:v>azoxystrobin</x:v>
      </x:c>
      <x:c r="B108" s="4" t="str">
        <x:v>azoxystrobin</x:v>
      </x:c>
      <x:c r="C108" s="4" t="str">
        <x:v>甲氧基丙烯酸酯类（strobilurin）</x:v>
      </x:c>
      <x:c r="D108" s="4" t="str">
        <x:v>商品化</x:v>
      </x:c>
      <x:c r="E108" s="4" t="str">
        <x:v>250 g litre⁻¹ SC formulation</x:v>
      </x:c>
      <x:c r="F108" s="4" t="str">
        <x:v>Phytophthora infestans</x:v>
      </x:c>
      <x:c r="G108" s="4" t="str">
        <x:v>离体叶片接种（leaf disc assay）</x:v>
      </x:c>
      <x:c r="H108" s="4" t="str">
        <x:v>EC₅₀分布范围达100倍差异；无抗性个体检出；baseline敏感性分布</x:v>
      </x:c>
      <x:c r="I108" s="4" t="str">
        <x:v>未提及</x:v>
      </x:c>
      <x:c r="J108" s="4" t="str">
        <x:v>未提及</x:v>
      </x:c>
      <x:c r="K108" s="4" t="str">
        <x:v>未提及</x:v>
      </x:c>
      <x:c r="L108" s="4" t="str">
        <x:v>未提及</x:v>
      </x:c>
      <x:c r="M108" s="4" t="str">
        <x:v>与oxadixyl和cymoxanil无交叉敏感性</x:v>
      </x:c>
      <x:c r="N108" s="4" t="str">
        <x:v>未提及</x:v>
      </x:c>
      <x:c r="O108" s="4" t="str">
        <x:v>Gisi, Hermann, Ohl, Steden, Sensitivity Profiles of Mycosphaerella graminicola and Phytophthora infestans Populations to Different Classes of Fungicides *</x:v>
      </x:c>
      <x:c r="P108" s="4" t="str"/>
    </x:row>
    <x:row r="109" ht="54" customHeight="1">
      <x:c r="A109" s="4" t="str">
        <x:v>cymoxanil</x:v>
      </x:c>
      <x:c r="B109" s="4" t="str">
        <x:v>cymoxanil</x:v>
      </x:c>
      <x:c r="C109" s="4" t="str">
        <x:v>cyanoacetamide类</x:v>
      </x:c>
      <x:c r="D109" s="4" t="str">
        <x:v>商品化</x:v>
      </x:c>
      <x:c r="E109" s="4" t="str">
        <x:v>500 g kg⁻¹ WP formulation</x:v>
      </x:c>
      <x:c r="F109" s="4" t="str">
        <x:v>Phytophthora infestans</x:v>
      </x:c>
      <x:c r="G109" s="4" t="str">
        <x:v>离体叶片接种（leaf disc assay）</x:v>
      </x:c>
      <x:c r="H109" s="4" t="str">
        <x:v>EC₅₀分布范围达1000倍差异；未发现抗性个体</x:v>
      </x:c>
      <x:c r="I109" s="4" t="str">
        <x:v>未提及</x:v>
      </x:c>
      <x:c r="J109" s="4" t="str">
        <x:v>未提及</x:v>
      </x:c>
      <x:c r="K109" s="4" t="str">
        <x:v>未提及</x:v>
      </x:c>
      <x:c r="L109" s="4" t="str">
        <x:v>未提及</x:v>
      </x:c>
      <x:c r="M109" s="4" t="str">
        <x:v>与oxadixyl存在部分交叉敏感性组合（如r/i），但无cymoxanil抗性个体（s/r, i/r, r/r）</x:v>
      </x:c>
      <x:c r="N109" s="4" t="str">
        <x:v>未提及</x:v>
      </x:c>
      <x:c r="O109" s="4" t="str">
        <x:v>Gisi, Hermann, Ohl, Steden, Sensitivity Profiles of Mycosphaerella graminicola and Phytophthora infestans Populations to Different Classes of Fungicides *</x:v>
      </x:c>
      <x:c r="P109" s="4" t="str"/>
    </x:row>
    <x:row r="110" ht="54" customHeight="1">
      <x:c r="A110" s="4" t="str">
        <x:v>oxadixyl</x:v>
      </x:c>
      <x:c r="B110" s="4" t="str">
        <x:v>oxadixyl</x:v>
      </x:c>
      <x:c r="C110" s="4" t="str">
        <x:v>phenylamide类</x:v>
      </x:c>
      <x:c r="D110" s="4" t="str">
        <x:v>商品化</x:v>
      </x:c>
      <x:c r="E110" s="4" t="str">
        <x:v>250 g kg⁻¹ WP formulation</x:v>
      </x:c>
      <x:c r="F110" s="4" t="str">
        <x:v>Phytophthora infestans</x:v>
      </x:c>
      <x:c r="G110" s="4" t="str">
        <x:v>离体叶片接种（leaf disc assay）</x:v>
      </x:c>
      <x:c r="H110" s="4" t="str">
        <x:v>EC₅₀分布范围&gt;10,000倍；存在敏感(s)、中间(i)、抗性(r)三个亚群</x:v>
      </x:c>
      <x:c r="I110" s="4" t="str">
        <x:v>未提及</x:v>
      </x:c>
      <x:c r="J110" s="4" t="str">
        <x:v>未提及</x:v>
      </x:c>
      <x:c r="K110" s="4" t="str">
        <x:v>未提及</x:v>
      </x:c>
      <x:c r="L110" s="4" t="str">
        <x:v>未提及</x:v>
      </x:c>
      <x:c r="M110" s="4" t="str">
        <x:v>与其他phenylamides（metalaxyl, benalaxyl, ofurace）有强交叉抗性；与azoxystrobin和cymoxanil无交叉敏感性</x:v>
      </x:c>
      <x:c r="N110" s="4" t="str">
        <x:v>未提及</x:v>
      </x:c>
      <x:c r="O110" s="4" t="str">
        <x:v>Gisi, Hermann, Ohl, Steden, Sensitivity Profiles of Mycosphaerella graminicola and Phytophthora infestans Populations to Different Classes of Fungicides *</x:v>
      </x:c>
      <x:c r="P110" s="4" t="str"/>
    </x:row>
    <x:row r="111" ht="54" customHeight="1">
      <x:c r="A111" s="4" t="str">
        <x:v>cymoxanil</x:v>
      </x:c>
      <x:c r="B111" s="4" t="str">
        <x:v>cymoxanil</x:v>
      </x:c>
      <x:c r="C111" s="4" t="str">
        <x:v>腈类（cyanoacetamide）</x:v>
      </x:c>
      <x:c r="D111" s="4" t="str">
        <x:v>商品化</x:v>
      </x:c>
      <x:c r="E111" s="4" t="str">
        <x:v>商品杀菌剂，未提供供应商信息</x:v>
      </x:c>
      <x:c r="F111" s="4" t="str">
        <x:v>Plasmopara viticola</x:v>
      </x:c>
      <x:c r="G111" s="4" t="str">
        <x:v>Leaf-disc assay（叶盘法）</x:v>
      </x:c>
      <x:c r="H111" s="4" t="str">
        <x:v>MIC范围10–&gt;800 mg/L；EC50范围1–&gt;800 mg/L，欧洲群体平均EC50=125 mg/L；未暴露群体平均EC50=10 mg/L</x:v>
      </x:c>
      <x:c r="I111" s="4" t="str">
        <x:v>未明确列出阳性对照药剂</x:v>
      </x:c>
      <x:c r="J111" s="4" t="str">
        <x:v>抑制核酸和多种氨基酸合成</x:v>
      </x:c>
      <x:c r="K111" s="4" t="str">
        <x:v>未说明</x:v>
      </x:c>
      <x:c r="L111" s="4" t="str">
        <x:v>未提及</x:v>
      </x:c>
      <x:c r="M111" s="4" t="str">
        <x:v>欧洲群体对cymoxanil敏感性下降（平均EC50升高12.5倍），但未导致田间防效显著丧失；与甲霜灵等无交叉抗性信息</x:v>
      </x:c>
      <x:c r="N111" s="4" t="str">
        <x:v>与mancozeb等混用表现出协同增效（田间防效显著优于单剂）</x:v>
      </x:c>
      <x:c r="O111" s="4" t="str">
        <x:v>Genet et al., Sensitivity of European Plasmopara viticola populations to cymoxanil, DOI未提供</x:v>
      </x:c>
      <x:c r="P111" s="4" t="str"/>
    </x:row>
    <x:row r="112" ht="54" customHeight="1">
      <x:c r="A112" s="4" t="str">
        <x:v>cymoxanil + mancozeb</x:v>
      </x:c>
      <x:c r="B112" s="4" t="str">
        <x:v>cymoxanil | mancozeb</x:v>
      </x:c>
      <x:c r="C112" s="4" t="str">
        <x:v>腈类 | 二硫代氨基甲酸盐类</x:v>
      </x:c>
      <x:c r="D112" s="4" t="str">
        <x:v>商品化</x:v>
      </x:c>
      <x:c r="E112" s="4" t="str">
        <x:v>商品混剂（40 | 400 g/kg WP）</x:v>
      </x:c>
      <x:c r="F112" s="4" t="str">
        <x:v>Plasmopara viticola</x:v>
      </x:c>
      <x:c r="G112" s="4" t="str">
        <x:v>大田试验（自然接种，EPPO指南）</x:v>
      </x:c>
      <x:c r="H112" s="4" t="str">
        <x:v>意大利Conegliano：2.5 kg/ha，13次施药，防效显著优于mancozeb单剂（P&lt;0.05）；葡萄牙Braga：3 kg/ha，8次施药，防效亦显著优于mancozeb单剂</x:v>
      </x:c>
      <x:c r="I112" s="4" t="str">
        <x:v>mancozeb（800 g/kg WP，用量为其在混剂中的剂量）</x:v>
      </x:c>
      <x:c r="J112" s="4" t="str">
        <x:v>未说明</x:v>
      </x:c>
      <x:c r="K112" s="4" t="str">
        <x:v>未说明</x:v>
      </x:c>
      <x:c r="L112" s="4" t="str">
        <x:v>未提及</x:v>
      </x:c>
      <x:c r="M112" s="4" t="str">
        <x:v>未报道抗性导致防效失败（即使对MIC &gt;800 mg/L群体仍有效）</x:v>
      </x:c>
      <x:c r="N112" s="4" t="str">
        <x:v>明确指出cymoxanil与mancozeb混用具有协同增效作用</x:v>
      </x:c>
      <x:c r="O112" s="4" t="str">
        <x:v>Genet et al., Sensitivity of European Plasmopara viticola populations to cymoxanil, DOI未提供</x:v>
      </x:c>
      <x:c r="P112" s="4" t="str"/>
    </x:row>
    <x:row r="113" ht="54" customHeight="1">
      <x:c r="A113" s="4" t="str">
        <x:v>8a</x:v>
      </x:c>
      <x:c r="B113" s="4" t="str"/>
      <x:c r="C113" s="4" t="str">
        <x:v>吡啶类</x:v>
      </x:c>
      <x:c r="D113" s="4" t="str">
        <x:v>化学合成</x:v>
      </x:c>
      <x:c r="E113" s="4" t="str">
        <x:v>以Baylis-Hillman加合物为起始原料，经AlCl3催化一锅法合成</x:v>
      </x:c>
      <x:c r="F113" s="4" t="str">
        <x:v>Pythium dissimile</x:v>
      </x:c>
      <x:c r="G113" s="4" t="str">
        <x:v>菌丝生长抑制</x:v>
      </x:c>
      <x:c r="H113" s="4" t="str">
        <x:v>20 ppm: 0%抑制；100 ppm: 0%抑制</x:v>
      </x:c>
      <x:c r="I113" s="4" t="str">
        <x:v>azoxystrobin（100%抑制）</x:v>
      </x:c>
      <x:c r="J113" s="4" t="str"/>
      <x:c r="K113" s="4" t="str"/>
      <x:c r="L113" s="4" t="str"/>
      <x:c r="M113" s="4" t="str"/>
      <x:c r="N113" s="4" t="str"/>
      <x:c r="O113" s="4" t="str">
        <x:v>Zhi-Lin Ren et al., OF ORGANIC CHEMISTRY, 10.1002/ajoc.201900291</x:v>
      </x:c>
      <x:c r="P113" s="4" t="str"/>
    </x:row>
    <x:row r="114" ht="54" customHeight="1">
      <x:c r="A114" s="4" t="str">
        <x:v>8a</x:v>
      </x:c>
      <x:c r="B114" s="4" t="str"/>
      <x:c r="C114" s="4" t="str">
        <x:v>吡啶类</x:v>
      </x:c>
      <x:c r="D114" s="4" t="str">
        <x:v>化学合成</x:v>
      </x:c>
      <x:c r="E114" s="4" t="str">
        <x:v>以Baylis-Hillman加合物为起始原料，经AlCl3催化一锅法合成</x:v>
      </x:c>
      <x:c r="F114" s="4" t="str">
        <x:v>Botryotinia fuckeliana</x:v>
      </x:c>
      <x:c r="G114" s="4" t="str">
        <x:v>菌丝生长抑制</x:v>
      </x:c>
      <x:c r="H114" s="4" t="str">
        <x:v>20 ppm: 27%抑制</x:v>
      </x:c>
      <x:c r="I114" s="4" t="str">
        <x:v>azoxystrobin（100%抑制）</x:v>
      </x:c>
      <x:c r="J114" s="4" t="str"/>
      <x:c r="K114" s="4" t="str"/>
      <x:c r="L114" s="4" t="str"/>
      <x:c r="M114" s="4" t="str"/>
      <x:c r="N114" s="4" t="str"/>
      <x:c r="O114" s="4" t="str">
        <x:v>Zhi-Lin Ren et al., OF ORGANIC CHEMISTRY, 10.1002/ajoc.201900291</x:v>
      </x:c>
      <x:c r="P114" s="4" t="str"/>
    </x:row>
    <x:row r="115" ht="54" customHeight="1">
      <x:c r="A115" s="4" t="str">
        <x:v>8a</x:v>
      </x:c>
      <x:c r="B115" s="4" t="str"/>
      <x:c r="C115" s="4" t="str">
        <x:v>吡啶类</x:v>
      </x:c>
      <x:c r="D115" s="4" t="str">
        <x:v>化学合成</x:v>
      </x:c>
      <x:c r="E115" s="4" t="str">
        <x:v>以Baylis-Hillman加合物为起始原料，经AlCl3催化一锅法合成</x:v>
      </x:c>
      <x:c r="F115" s="4" t="str">
        <x:v>Zymoseptoria tritici</x:v>
      </x:c>
      <x:c r="G115" s="4" t="str">
        <x:v>菌丝生长抑制</x:v>
      </x:c>
      <x:c r="H115" s="4" t="str">
        <x:v>20 ppm（minimal media）: 70%抑制；20 ppm（rich media）: 70%抑制</x:v>
      </x:c>
      <x:c r="I115" s="4" t="str">
        <x:v>azoxystrobin（100%抑制）</x:v>
      </x:c>
      <x:c r="J115" s="4" t="str"/>
      <x:c r="K115" s="4" t="str"/>
      <x:c r="L115" s="4" t="str"/>
      <x:c r="M115" s="4" t="str"/>
      <x:c r="N115" s="4" t="str"/>
      <x:c r="O115" s="4" t="str">
        <x:v>Zhi-Lin Ren et al., OF ORGANIC CHEMISTRY, 10.1002/ajoc.201900291</x:v>
      </x:c>
      <x:c r="P115" s="4" t="str"/>
    </x:row>
    <x:row r="116" ht="54" customHeight="1">
      <x:c r="A116" s="4" t="str">
        <x:v>8b</x:v>
      </x:c>
      <x:c r="B116" s="4" t="str"/>
      <x:c r="C116" s="4" t="str">
        <x:v>吡啶类</x:v>
      </x:c>
      <x:c r="D116" s="4" t="str">
        <x:v>化学合成</x:v>
      </x:c>
      <x:c r="E116" s="4" t="str">
        <x:v>以Baylis-Hillman加合物为起始原料，经AlCl3催化一锅法合成</x:v>
      </x:c>
      <x:c r="F116" s="4" t="str">
        <x:v>Pythium dissimile</x:v>
      </x:c>
      <x:c r="G116" s="4" t="str">
        <x:v>菌丝生长抑制</x:v>
      </x:c>
      <x:c r="H116" s="4" t="str">
        <x:v>20 ppm: 0%抑制；100 ppm: 0%抑制</x:v>
      </x:c>
      <x:c r="I116" s="4" t="str">
        <x:v>azoxystrobin（100%抑制）</x:v>
      </x:c>
      <x:c r="J116" s="4" t="str"/>
      <x:c r="K116" s="4" t="str"/>
      <x:c r="L116" s="4" t="str"/>
      <x:c r="M116" s="4" t="str"/>
      <x:c r="N116" s="4" t="str"/>
      <x:c r="O116" s="4" t="str">
        <x:v>Zhi-Lin Ren et al., OF ORGANIC CHEMISTRY, 10.1002/ajoc.201900291</x:v>
      </x:c>
      <x:c r="P116" s="4" t="str"/>
    </x:row>
    <x:row r="117" ht="54" customHeight="1">
      <x:c r="A117" s="4" t="str">
        <x:v>8b</x:v>
      </x:c>
      <x:c r="B117" s="4" t="str"/>
      <x:c r="C117" s="4" t="str">
        <x:v>吡啶类</x:v>
      </x:c>
      <x:c r="D117" s="4" t="str">
        <x:v>化学合成</x:v>
      </x:c>
      <x:c r="E117" s="4" t="str">
        <x:v>以Baylis-Hillman加合物为起始原料，经AlCl3催化一锅法合成</x:v>
      </x:c>
      <x:c r="F117" s="4" t="str">
        <x:v>Botryotinia fuckeliana</x:v>
      </x:c>
      <x:c r="G117" s="4" t="str">
        <x:v>菌丝生长抑制</x:v>
      </x:c>
      <x:c r="H117" s="4" t="str">
        <x:v>20 ppm: 27%抑制</x:v>
      </x:c>
      <x:c r="I117" s="4" t="str">
        <x:v>azoxystrobin（100%抑制）</x:v>
      </x:c>
      <x:c r="J117" s="4" t="str"/>
      <x:c r="K117" s="4" t="str"/>
      <x:c r="L117" s="4" t="str"/>
      <x:c r="M117" s="4" t="str"/>
      <x:c r="N117" s="4" t="str"/>
      <x:c r="O117" s="4" t="str">
        <x:v>Zhi-Lin Ren et al., OF ORGANIC CHEMISTRY, 10.1002/ajoc.201900291</x:v>
      </x:c>
      <x:c r="P117" s="4" t="str"/>
    </x:row>
    <x:row r="118" ht="54" customHeight="1">
      <x:c r="A118" s="4" t="str">
        <x:v>8b</x:v>
      </x:c>
      <x:c r="B118" s="4" t="str"/>
      <x:c r="C118" s="4" t="str">
        <x:v>吡啶类</x:v>
      </x:c>
      <x:c r="D118" s="4" t="str">
        <x:v>化学合成</x:v>
      </x:c>
      <x:c r="E118" s="4" t="str">
        <x:v>以Baylis-Hillman加合物为起始原料，经AlCl3催化一锅法合成</x:v>
      </x:c>
      <x:c r="F118" s="4" t="str">
        <x:v>Zymoseptoria tritici</x:v>
      </x:c>
      <x:c r="G118" s="4" t="str">
        <x:v>菌丝生长抑制</x:v>
      </x:c>
      <x:c r="H118" s="4" t="str">
        <x:v>20 ppm（minimal media）: 62%抑制；20 ppm（rich media）: 0%抑制</x:v>
      </x:c>
      <x:c r="I118" s="4" t="str">
        <x:v>azoxystrobin（100%抑制）</x:v>
      </x:c>
      <x:c r="J118" s="4" t="str"/>
      <x:c r="K118" s="4" t="str"/>
      <x:c r="L118" s="4" t="str"/>
      <x:c r="M118" s="4" t="str"/>
      <x:c r="N118" s="4" t="str"/>
      <x:c r="O118" s="4" t="str">
        <x:v>Zhi-Lin Ren et al., OF ORGANIC CHEMISTRY, 10.1002/ajoc.201900291</x:v>
      </x:c>
      <x:c r="P118" s="4" t="str"/>
    </x:row>
    <x:row r="119" ht="54" customHeight="1">
      <x:c r="A119" s="4" t="str">
        <x:v>8c</x:v>
      </x:c>
      <x:c r="B119" s="4" t="str"/>
      <x:c r="C119" s="4" t="str">
        <x:v>吡啶类</x:v>
      </x:c>
      <x:c r="D119" s="4" t="str">
        <x:v>化学合成</x:v>
      </x:c>
      <x:c r="E119" s="4" t="str">
        <x:v>以Baylis-Hillman加合物为起始原料，经AlCl3催化一锅法合成</x:v>
      </x:c>
      <x:c r="F119" s="4" t="str">
        <x:v>Pythium dissimile</x:v>
      </x:c>
      <x:c r="G119" s="4" t="str">
        <x:v>菌丝生长抑制</x:v>
      </x:c>
      <x:c r="H119" s="4" t="str">
        <x:v>20 ppm: 55%抑制；100 ppm: 0%抑制</x:v>
      </x:c>
      <x:c r="I119" s="4" t="str">
        <x:v>azoxystrobin（100%抑制）</x:v>
      </x:c>
      <x:c r="J119" s="4" t="str"/>
      <x:c r="K119" s="4" t="str"/>
      <x:c r="L119" s="4" t="str"/>
      <x:c r="M119" s="4" t="str"/>
      <x:c r="N119" s="4" t="str"/>
      <x:c r="O119" s="4" t="str">
        <x:v>Zhi-Lin Ren et al., OF ORGANIC CHEMISTRY, 10.1002/ajoc.201900291</x:v>
      </x:c>
      <x:c r="P119" s="4" t="str"/>
    </x:row>
    <x:row r="120" ht="54" customHeight="1">
      <x:c r="A120" s="4" t="str">
        <x:v>8c</x:v>
      </x:c>
      <x:c r="B120" s="4" t="str"/>
      <x:c r="C120" s="4" t="str">
        <x:v>吡啶类</x:v>
      </x:c>
      <x:c r="D120" s="4" t="str">
        <x:v>化学合成</x:v>
      </x:c>
      <x:c r="E120" s="4" t="str">
        <x:v>以Baylis-Hillman加合物为起始原料，经AlCl3催化一锅法合成</x:v>
      </x:c>
      <x:c r="F120" s="4" t="str">
        <x:v>Botryotinia fuckeliana</x:v>
      </x:c>
      <x:c r="G120" s="4" t="str">
        <x:v>菌丝生长抑制</x:v>
      </x:c>
      <x:c r="H120" s="4" t="str">
        <x:v>20 ppm: 0%抑制</x:v>
      </x:c>
      <x:c r="I120" s="4" t="str">
        <x:v>azoxystrobin（100%抑制）</x:v>
      </x:c>
      <x:c r="J120" s="4" t="str"/>
      <x:c r="K120" s="4" t="str"/>
      <x:c r="L120" s="4" t="str"/>
      <x:c r="M120" s="4" t="str"/>
      <x:c r="N120" s="4" t="str"/>
      <x:c r="O120" s="4" t="str">
        <x:v>Zhi-Lin Ren et al., OF ORGANIC CHEMISTRY, 10.1002/ajoc.201900291</x:v>
      </x:c>
      <x:c r="P120" s="4" t="str"/>
    </x:row>
    <x:row r="121" ht="54" customHeight="1">
      <x:c r="A121" s="4" t="str">
        <x:v>8c</x:v>
      </x:c>
      <x:c r="B121" s="4" t="str"/>
      <x:c r="C121" s="4" t="str">
        <x:v>吡啶类</x:v>
      </x:c>
      <x:c r="D121" s="4" t="str">
        <x:v>化学合成</x:v>
      </x:c>
      <x:c r="E121" s="4" t="str">
        <x:v>以Baylis-Hillman加合物为起始原料，经AlCl3催化一锅法合成</x:v>
      </x:c>
      <x:c r="F121" s="4" t="str">
        <x:v>Zymoseptoria tritici</x:v>
      </x:c>
      <x:c r="G121" s="4" t="str">
        <x:v>菌丝生长抑制</x:v>
      </x:c>
      <x:c r="H121" s="4" t="str">
        <x:v>20 ppm（minimal media）: 27%抑制；20 ppm（rich media）: 0%抑制</x:v>
      </x:c>
      <x:c r="I121" s="4" t="str">
        <x:v>azoxystrobin（100%抑制）</x:v>
      </x:c>
      <x:c r="J121" s="4" t="str"/>
      <x:c r="K121" s="4" t="str"/>
      <x:c r="L121" s="4" t="str"/>
      <x:c r="M121" s="4" t="str"/>
      <x:c r="N121" s="4" t="str"/>
      <x:c r="O121" s="4" t="str">
        <x:v>Zhi-Lin Ren et al., OF ORGANIC CHEMISTRY, 10.1002/ajoc.201900291</x:v>
      </x:c>
      <x:c r="P121" s="4" t="str"/>
    </x:row>
    <x:row r="122" ht="54" customHeight="1">
      <x:c r="A122" s="4" t="str">
        <x:v>8d</x:v>
      </x:c>
      <x:c r="B122" s="4" t="str"/>
      <x:c r="C122" s="4" t="str">
        <x:v>吡啶类</x:v>
      </x:c>
      <x:c r="D122" s="4" t="str">
        <x:v>化学合成</x:v>
      </x:c>
      <x:c r="E122" s="4" t="str">
        <x:v>以Baylis-Hillman加合物为起始原料，经AlCl3催化一锅法合成</x:v>
      </x:c>
      <x:c r="F122" s="4" t="str">
        <x:v>Pythium dissimile</x:v>
      </x:c>
      <x:c r="G122" s="4" t="str">
        <x:v>菌丝生长抑制</x:v>
      </x:c>
      <x:c r="H122" s="4" t="str">
        <x:v>20 ppm: 0%抑制；100 ppm: 0%抑制</x:v>
      </x:c>
      <x:c r="I122" s="4" t="str">
        <x:v>azoxystrobin（100%抑制）</x:v>
      </x:c>
      <x:c r="J122" s="4" t="str"/>
      <x:c r="K122" s="4" t="str"/>
      <x:c r="L122" s="4" t="str"/>
      <x:c r="M122" s="4" t="str"/>
      <x:c r="N122" s="4" t="str"/>
      <x:c r="O122" s="4" t="str">
        <x:v>Zhi-Lin Ren et al., OF ORGANIC CHEMISTRY, 10.1002/ajoc.201900291</x:v>
      </x:c>
      <x:c r="P122" s="4" t="str"/>
    </x:row>
    <x:row r="123" ht="54" customHeight="1">
      <x:c r="A123" s="4" t="str">
        <x:v>8d</x:v>
      </x:c>
      <x:c r="B123" s="4" t="str"/>
      <x:c r="C123" s="4" t="str">
        <x:v>吡啶类</x:v>
      </x:c>
      <x:c r="D123" s="4" t="str">
        <x:v>化学合成</x:v>
      </x:c>
      <x:c r="E123" s="4" t="str">
        <x:v>以Baylis-Hillman加合物为起始原料，经AlCl3催化一锅法合成</x:v>
      </x:c>
      <x:c r="F123" s="4" t="str">
        <x:v>Botryotinia fuckeliana</x:v>
      </x:c>
      <x:c r="G123" s="4" t="str">
        <x:v>菌丝生长抑制</x:v>
      </x:c>
      <x:c r="H123" s="4" t="str">
        <x:v>20 ppm: 35%抑制</x:v>
      </x:c>
      <x:c r="I123" s="4" t="str">
        <x:v>azoxystrobin（100%抑制）</x:v>
      </x:c>
      <x:c r="J123" s="4" t="str"/>
      <x:c r="K123" s="4" t="str"/>
      <x:c r="L123" s="4" t="str"/>
      <x:c r="M123" s="4" t="str"/>
      <x:c r="N123" s="4" t="str"/>
      <x:c r="O123" s="4" t="str">
        <x:v>Zhi-Lin Ren et al., OF ORGANIC CHEMISTRY, 10.1002/ajoc.201900291</x:v>
      </x:c>
      <x:c r="P123" s="4" t="str"/>
    </x:row>
    <x:row r="124" ht="54" customHeight="1">
      <x:c r="A124" s="4" t="str">
        <x:v>8d</x:v>
      </x:c>
      <x:c r="B124" s="4" t="str"/>
      <x:c r="C124" s="4" t="str">
        <x:v>吡啶类</x:v>
      </x:c>
      <x:c r="D124" s="4" t="str">
        <x:v>化学合成</x:v>
      </x:c>
      <x:c r="E124" s="4" t="str">
        <x:v>以Baylis-Hillman加合物为起始原料，经AlCl3催化一锅法合成</x:v>
      </x:c>
      <x:c r="F124" s="4" t="str">
        <x:v>Zymoseptoria tritici</x:v>
      </x:c>
      <x:c r="G124" s="4" t="str">
        <x:v>菌丝生长抑制</x:v>
      </x:c>
      <x:c r="H124" s="4" t="str">
        <x:v>20 ppm（minimal media）: 80%抑制；20 ppm（rich media）: 80%抑制</x:v>
      </x:c>
      <x:c r="I124" s="4" t="str">
        <x:v>azoxystrobin（100%抑制）</x:v>
      </x:c>
      <x:c r="J124" s="4" t="str"/>
      <x:c r="K124" s="4" t="str"/>
      <x:c r="L124" s="4" t="str"/>
      <x:c r="M124" s="4" t="str"/>
      <x:c r="N124" s="4" t="str"/>
      <x:c r="O124" s="4" t="str">
        <x:v>Zhi-Lin Ren et al., OF ORGANIC CHEMISTRY, 10.1002/ajoc.201900291</x:v>
      </x:c>
      <x:c r="P124" s="4" t="str"/>
    </x:row>
    <x:row r="125" ht="54" customHeight="1">
      <x:c r="A125" s="4" t="str">
        <x:v>8e</x:v>
      </x:c>
      <x:c r="B125" s="4" t="str"/>
      <x:c r="C125" s="4" t="str">
        <x:v>吡啶类</x:v>
      </x:c>
      <x:c r="D125" s="4" t="str">
        <x:v>化学合成</x:v>
      </x:c>
      <x:c r="E125" s="4" t="str">
        <x:v>以Baylis-Hillman加合物为起始原料，经AlCl3催化一锅法合成</x:v>
      </x:c>
      <x:c r="F125" s="4" t="str">
        <x:v>Pythium dissimile</x:v>
      </x:c>
      <x:c r="G125" s="4" t="str">
        <x:v>菌丝生长抑制</x:v>
      </x:c>
      <x:c r="H125" s="4" t="str">
        <x:v>20 ppm: 70%抑制；100 ppm: 0%抑制</x:v>
      </x:c>
      <x:c r="I125" s="4" t="str">
        <x:v>azoxystrobin（100%抑制）</x:v>
      </x:c>
      <x:c r="J125" s="4" t="str"/>
      <x:c r="K125" s="4" t="str"/>
      <x:c r="L125" s="4" t="str"/>
      <x:c r="M125" s="4" t="str"/>
      <x:c r="N125" s="4" t="str"/>
      <x:c r="O125" s="4" t="str">
        <x:v>Zhi-Lin Ren et al., OF ORGANIC CHEMISTRY, 10.1002/ajoc.201900291</x:v>
      </x:c>
      <x:c r="P125" s="4" t="str"/>
    </x:row>
    <x:row r="126" ht="54" customHeight="1">
      <x:c r="A126" s="4" t="str">
        <x:v>8e</x:v>
      </x:c>
      <x:c r="B126" s="4" t="str"/>
      <x:c r="C126" s="4" t="str">
        <x:v>吡啶类</x:v>
      </x:c>
      <x:c r="D126" s="4" t="str">
        <x:v>化学合成</x:v>
      </x:c>
      <x:c r="E126" s="4" t="str">
        <x:v>以Baylis-Hillman加合物为起始原料，经AlCl3催化一锅法合成</x:v>
      </x:c>
      <x:c r="F126" s="4" t="str">
        <x:v>Botryotinia fuckeliana</x:v>
      </x:c>
      <x:c r="G126" s="4" t="str">
        <x:v>菌丝生长抑制</x:v>
      </x:c>
      <x:c r="H126" s="4" t="str">
        <x:v>20 ppm: 0%抑制</x:v>
      </x:c>
      <x:c r="I126" s="4" t="str">
        <x:v>azoxystrobin（100%抑制）</x:v>
      </x:c>
      <x:c r="J126" s="4" t="str"/>
      <x:c r="K126" s="4" t="str"/>
      <x:c r="L126" s="4" t="str"/>
      <x:c r="M126" s="4" t="str"/>
      <x:c r="N126" s="4" t="str"/>
      <x:c r="O126" s="4" t="str">
        <x:v>Zhi-Lin Ren et al., OF ORGANIC CHEMISTRY, 10.1002/ajoc.201900291</x:v>
      </x:c>
      <x:c r="P126" s="4" t="str"/>
    </x:row>
    <x:row r="127" ht="54" customHeight="1">
      <x:c r="A127" s="4" t="str">
        <x:v>8e</x:v>
      </x:c>
      <x:c r="B127" s="4" t="str"/>
      <x:c r="C127" s="4" t="str">
        <x:v>吡啶类</x:v>
      </x:c>
      <x:c r="D127" s="4" t="str">
        <x:v>化学合成</x:v>
      </x:c>
      <x:c r="E127" s="4" t="str">
        <x:v>以Baylis-Hillman加合物为起始原料，经AlCl3催化一锅法合成</x:v>
      </x:c>
      <x:c r="F127" s="4" t="str">
        <x:v>Zymoseptoria tritici</x:v>
      </x:c>
      <x:c r="G127" s="4" t="str">
        <x:v>菌丝生长抑制</x:v>
      </x:c>
      <x:c r="H127" s="4" t="str">
        <x:v>20 ppm（minimal media）: 55%抑制；20 ppm（rich media）: 0%抑制</x:v>
      </x:c>
      <x:c r="I127" s="4" t="str">
        <x:v>azoxystrobin（100%抑制）</x:v>
      </x:c>
      <x:c r="J127" s="4" t="str"/>
      <x:c r="K127" s="4" t="str"/>
      <x:c r="L127" s="4" t="str"/>
      <x:c r="M127" s="4" t="str"/>
      <x:c r="N127" s="4" t="str"/>
      <x:c r="O127" s="4" t="str">
        <x:v>Zhi-Lin Ren et al., OF ORGANIC CHEMISTRY, 10.1002/ajoc.201900291</x:v>
      </x:c>
      <x:c r="P127" s="4" t="str"/>
    </x:row>
    <x:row r="128" ht="54" customHeight="1">
      <x:c r="A128" s="4" t="str">
        <x:v>8f</x:v>
      </x:c>
      <x:c r="B128" s="4" t="str"/>
      <x:c r="C128" s="4" t="str">
        <x:v>吡啶类</x:v>
      </x:c>
      <x:c r="D128" s="4" t="str">
        <x:v>化学合成</x:v>
      </x:c>
      <x:c r="E128" s="4" t="str">
        <x:v>以Baylis-Hillman加合物为起始原料，经AlCl3催化一锅法合成</x:v>
      </x:c>
      <x:c r="F128" s="4" t="str">
        <x:v>Pythium dissimile</x:v>
      </x:c>
      <x:c r="G128" s="4" t="str">
        <x:v>菌丝生长抑制</x:v>
      </x:c>
      <x:c r="H128" s="4" t="str">
        <x:v>20 ppm: 0%抑制；100 ppm: 0%抑制</x:v>
      </x:c>
      <x:c r="I128" s="4" t="str">
        <x:v>azoxystrobin（100%抑制）</x:v>
      </x:c>
      <x:c r="J128" s="4" t="str"/>
      <x:c r="K128" s="4" t="str"/>
      <x:c r="L128" s="4" t="str"/>
      <x:c r="M128" s="4" t="str"/>
      <x:c r="N128" s="4" t="str"/>
      <x:c r="O128" s="4" t="str">
        <x:v>Zhi-Lin Ren et al., OF ORGANIC CHEMISTRY, 10.1002/ajoc.201900291</x:v>
      </x:c>
      <x:c r="P128" s="4" t="str"/>
    </x:row>
    <x:row r="129" ht="54" customHeight="1">
      <x:c r="A129" s="4" t="str">
        <x:v>8f</x:v>
      </x:c>
      <x:c r="B129" s="4" t="str"/>
      <x:c r="C129" s="4" t="str">
        <x:v>吡啶类</x:v>
      </x:c>
      <x:c r="D129" s="4" t="str">
        <x:v>化学合成</x:v>
      </x:c>
      <x:c r="E129" s="4" t="str">
        <x:v>以Baylis-Hillman加合物为起始原料，经AlCl3催化一锅法合成</x:v>
      </x:c>
      <x:c r="F129" s="4" t="str">
        <x:v>Botryotinia fuckeliana</x:v>
      </x:c>
      <x:c r="G129" s="4" t="str">
        <x:v>菌丝生长抑制</x:v>
      </x:c>
      <x:c r="H129" s="4" t="str">
        <x:v>20 ppm: 55%抑制</x:v>
      </x:c>
      <x:c r="I129" s="4" t="str">
        <x:v>azoxystrobin（100%抑制）</x:v>
      </x:c>
      <x:c r="J129" s="4" t="str"/>
      <x:c r="K129" s="4" t="str"/>
      <x:c r="L129" s="4" t="str"/>
      <x:c r="M129" s="4" t="str"/>
      <x:c r="N129" s="4" t="str"/>
      <x:c r="O129" s="4" t="str">
        <x:v>Zhi-Lin Ren et al., OF ORGANIC CHEMISTRY, 10.1002/ajoc.201900291</x:v>
      </x:c>
      <x:c r="P129" s="4" t="str"/>
    </x:row>
    <x:row r="130" ht="54" customHeight="1">
      <x:c r="A130" s="4" t="str">
        <x:v>8f</x:v>
      </x:c>
      <x:c r="B130" s="4" t="str"/>
      <x:c r="C130" s="4" t="str">
        <x:v>吡啶类</x:v>
      </x:c>
      <x:c r="D130" s="4" t="str">
        <x:v>化学合成</x:v>
      </x:c>
      <x:c r="E130" s="4" t="str">
        <x:v>以Baylis-Hillman加合物为起始原料，经AlCl3催化一锅法合成</x:v>
      </x:c>
      <x:c r="F130" s="4" t="str">
        <x:v>Zymoseptoria tritici</x:v>
      </x:c>
      <x:c r="G130" s="4" t="str">
        <x:v>菌丝生长抑制</x:v>
      </x:c>
      <x:c r="H130" s="4" t="str">
        <x:v>20 ppm（minimal media）: 27%抑制；20 ppm（rich media）: 0%抑制</x:v>
      </x:c>
      <x:c r="I130" s="4" t="str">
        <x:v>azoxystrobin（100%抑制）</x:v>
      </x:c>
      <x:c r="J130" s="4" t="str"/>
      <x:c r="K130" s="4" t="str"/>
      <x:c r="L130" s="4" t="str"/>
      <x:c r="M130" s="4" t="str"/>
      <x:c r="N130" s="4" t="str"/>
      <x:c r="O130" s="4" t="str">
        <x:v>Zhi-Lin Ren et al., OF ORGANIC CHEMISTRY, 10.1002/ajoc.201900291</x:v>
      </x:c>
      <x:c r="P130" s="4" t="str"/>
    </x:row>
    <x:row r="131" ht="54" customHeight="1">
      <x:c r="A131" s="4" t="str">
        <x:v>8g</x:v>
      </x:c>
      <x:c r="B131" s="4" t="str"/>
      <x:c r="C131" s="4" t="str">
        <x:v>吡啶类</x:v>
      </x:c>
      <x:c r="D131" s="4" t="str">
        <x:v>化学合成</x:v>
      </x:c>
      <x:c r="E131" s="4" t="str">
        <x:v>以Baylis-Hillman加合物为起始原料，经AlCl3催化一锅法合成</x:v>
      </x:c>
      <x:c r="F131" s="4" t="str">
        <x:v>Pythium dissimile</x:v>
      </x:c>
      <x:c r="G131" s="4" t="str">
        <x:v>菌丝生长抑制</x:v>
      </x:c>
      <x:c r="H131" s="4" t="str">
        <x:v>20 ppm: 45%抑制；100 ppm: 0%抑制</x:v>
      </x:c>
      <x:c r="I131" s="4" t="str">
        <x:v>azoxystrobin（100%抑制）</x:v>
      </x:c>
      <x:c r="J131" s="4" t="str"/>
      <x:c r="K131" s="4" t="str"/>
      <x:c r="L131" s="4" t="str"/>
      <x:c r="M131" s="4" t="str"/>
      <x:c r="N131" s="4" t="str"/>
      <x:c r="O131" s="4" t="str">
        <x:v>Zhi-Lin Ren et al., OF ORGANIC CHEMISTRY, 10.1002/ajoc.201900291</x:v>
      </x:c>
      <x:c r="P131" s="4" t="str"/>
    </x:row>
    <x:row r="132" ht="54" customHeight="1">
      <x:c r="A132" s="4" t="str">
        <x:v>8g</x:v>
      </x:c>
      <x:c r="B132" s="4" t="str"/>
      <x:c r="C132" s="4" t="str">
        <x:v>吡啶类</x:v>
      </x:c>
      <x:c r="D132" s="4" t="str">
        <x:v>化学合成</x:v>
      </x:c>
      <x:c r="E132" s="4" t="str">
        <x:v>以Baylis-Hillman加合物为起始原料，经AlCl3催化一锅法合成</x:v>
      </x:c>
      <x:c r="F132" s="4" t="str">
        <x:v>Botryotinia fuckeliana</x:v>
      </x:c>
      <x:c r="G132" s="4" t="str">
        <x:v>菌丝生长抑制</x:v>
      </x:c>
      <x:c r="H132" s="4" t="str">
        <x:v>20 ppm: 27%抑制</x:v>
      </x:c>
      <x:c r="I132" s="4" t="str">
        <x:v>azoxystrobin（100%抑制）</x:v>
      </x:c>
      <x:c r="J132" s="4" t="str"/>
      <x:c r="K132" s="4" t="str"/>
      <x:c r="L132" s="4" t="str"/>
      <x:c r="M132" s="4" t="str"/>
      <x:c r="N132" s="4" t="str"/>
      <x:c r="O132" s="4" t="str">
        <x:v>Zhi-Lin Ren et al., OF ORGANIC CHEMISTRY, 10.1002/ajoc.201900291</x:v>
      </x:c>
      <x:c r="P132" s="4" t="str"/>
    </x:row>
    <x:row r="133" ht="54" customHeight="1">
      <x:c r="A133" s="4" t="str">
        <x:v>8g</x:v>
      </x:c>
      <x:c r="B133" s="4" t="str"/>
      <x:c r="C133" s="4" t="str">
        <x:v>吡啶类</x:v>
      </x:c>
      <x:c r="D133" s="4" t="str">
        <x:v>化学合成</x:v>
      </x:c>
      <x:c r="E133" s="4" t="str">
        <x:v>以Baylis-Hillman加合物为起始原料，经AlCl3催化一锅法合成</x:v>
      </x:c>
      <x:c r="F133" s="4" t="str">
        <x:v>Zymoseptoria tritici</x:v>
      </x:c>
      <x:c r="G133" s="4" t="str">
        <x:v>菌丝生长抑制</x:v>
      </x:c>
      <x:c r="H133" s="4" t="str">
        <x:v>20 ppm（minimal media）: 0%抑制；20 ppm（rich media）: 55%抑制</x:v>
      </x:c>
      <x:c r="I133" s="4" t="str">
        <x:v>azoxystrobin（100%抑制）</x:v>
      </x:c>
      <x:c r="J133" s="4" t="str"/>
      <x:c r="K133" s="4" t="str"/>
      <x:c r="L133" s="4" t="str"/>
      <x:c r="M133" s="4" t="str"/>
      <x:c r="N133" s="4" t="str"/>
      <x:c r="O133" s="4" t="str">
        <x:v>Zhi-Lin Ren et al., OF ORGANIC CHEMISTRY, 10.1002/ajoc.201900291</x:v>
      </x:c>
      <x:c r="P133" s="4" t="str"/>
    </x:row>
    <x:row r="134" ht="54" customHeight="1">
      <x:c r="A134" s="4" t="str">
        <x:v>8i</x:v>
      </x:c>
      <x:c r="B134" s="4" t="str"/>
      <x:c r="C134" s="4" t="str">
        <x:v>吡啶类</x:v>
      </x:c>
      <x:c r="D134" s="4" t="str">
        <x:v>化学合成</x:v>
      </x:c>
      <x:c r="E134" s="4" t="str">
        <x:v>以Baylis-Hillman加合物为起始原料，经AlCl3催化一锅法合成</x:v>
      </x:c>
      <x:c r="F134" s="4" t="str">
        <x:v>Pythium dissimile</x:v>
      </x:c>
      <x:c r="G134" s="4" t="str">
        <x:v>菌丝生长抑制</x:v>
      </x:c>
      <x:c r="H134" s="4" t="str">
        <x:v>20 ppm: 27%抑制；100 ppm: 0%抑制</x:v>
      </x:c>
      <x:c r="I134" s="4" t="str">
        <x:v>azoxystrobin（100%抑制）</x:v>
      </x:c>
      <x:c r="J134" s="4" t="str"/>
      <x:c r="K134" s="4" t="str"/>
      <x:c r="L134" s="4" t="str"/>
      <x:c r="M134" s="4" t="str"/>
      <x:c r="N134" s="4" t="str"/>
      <x:c r="O134" s="4" t="str">
        <x:v>Zhi-Lin Ren et al., OF ORGANIC CHEMISTRY, 10.1002/ajoc.201900291</x:v>
      </x:c>
      <x:c r="P134" s="4" t="str"/>
    </x:row>
    <x:row r="135" ht="54" customHeight="1">
      <x:c r="A135" s="4" t="str">
        <x:v>8i</x:v>
      </x:c>
      <x:c r="B135" s="4" t="str"/>
      <x:c r="C135" s="4" t="str">
        <x:v>吡啶类</x:v>
      </x:c>
      <x:c r="D135" s="4" t="str">
        <x:v>化学合成</x:v>
      </x:c>
      <x:c r="E135" s="4" t="str">
        <x:v>以Baylis-Hillman加合物为起始原料，经AlCl3催化一锅法合成</x:v>
      </x:c>
      <x:c r="F135" s="4" t="str">
        <x:v>Botryotinia fuckeliana</x:v>
      </x:c>
      <x:c r="G135" s="4" t="str">
        <x:v>菌丝生长抑制</x:v>
      </x:c>
      <x:c r="H135" s="4" t="str">
        <x:v>20 ppm: 27%抑制</x:v>
      </x:c>
      <x:c r="I135" s="4" t="str">
        <x:v>azoxystrobin（100%抑制）</x:v>
      </x:c>
      <x:c r="J135" s="4" t="str"/>
      <x:c r="K135" s="4" t="str"/>
      <x:c r="L135" s="4" t="str"/>
      <x:c r="M135" s="4" t="str"/>
      <x:c r="N135" s="4" t="str"/>
      <x:c r="O135" s="4" t="str">
        <x:v>Zhi-Lin Ren et al., OF ORGANIC CHEMISTRY, 10.1002/ajoc.201900291</x:v>
      </x:c>
      <x:c r="P135" s="4" t="str"/>
    </x:row>
    <x:row r="136" ht="54" customHeight="1">
      <x:c r="A136" s="4" t="str">
        <x:v>8i</x:v>
      </x:c>
      <x:c r="B136" s="4" t="str"/>
      <x:c r="C136" s="4" t="str">
        <x:v>吡啶类</x:v>
      </x:c>
      <x:c r="D136" s="4" t="str">
        <x:v>化学合成</x:v>
      </x:c>
      <x:c r="E136" s="4" t="str">
        <x:v>以Baylis-Hillman加合物为起始原料，经AlCl3催化一锅法合成</x:v>
      </x:c>
      <x:c r="F136" s="4" t="str">
        <x:v>Zymoseptoria tritici</x:v>
      </x:c>
      <x:c r="G136" s="4" t="str">
        <x:v>菌丝生长抑制</x:v>
      </x:c>
      <x:c r="H136" s="4" t="str">
        <x:v>20 ppm（minimal media）: 27%抑制；20 ppm（rich media）: 0%抑制</x:v>
      </x:c>
      <x:c r="I136" s="4" t="str">
        <x:v>azoxystrobin（100%抑制）</x:v>
      </x:c>
      <x:c r="J136" s="4" t="str"/>
      <x:c r="K136" s="4" t="str"/>
      <x:c r="L136" s="4" t="str"/>
      <x:c r="M136" s="4" t="str"/>
      <x:c r="N136" s="4" t="str"/>
      <x:c r="O136" s="4" t="str">
        <x:v>Zhi-Lin Ren et al., OF ORGANIC CHEMISTRY, 10.1002/ajoc.201900291</x:v>
      </x:c>
      <x:c r="P136" s="4" t="str"/>
    </x:row>
    <x:row r="137" ht="54" customHeight="1">
      <x:c r="A137" s="4" t="str">
        <x:v>8j</x:v>
      </x:c>
      <x:c r="B137" s="4" t="str"/>
      <x:c r="C137" s="4" t="str">
        <x:v>吡啶类</x:v>
      </x:c>
      <x:c r="D137" s="4" t="str">
        <x:v>化学合成</x:v>
      </x:c>
      <x:c r="E137" s="4" t="str">
        <x:v>以Baylis-Hillman加合物为起始原料，经AlCl3催化一锅法合成</x:v>
      </x:c>
      <x:c r="F137" s="4" t="str">
        <x:v>Pythium dissimile</x:v>
      </x:c>
      <x:c r="G137" s="4" t="str">
        <x:v>菌丝生长抑制</x:v>
      </x:c>
      <x:c r="H137" s="4" t="str">
        <x:v>20 ppm: 0%抑制；100 ppm: 0%抑制</x:v>
      </x:c>
      <x:c r="I137" s="4" t="str">
        <x:v>azoxystrobin（100%抑制）</x:v>
      </x:c>
      <x:c r="J137" s="4" t="str"/>
      <x:c r="K137" s="4" t="str"/>
      <x:c r="L137" s="4" t="str"/>
      <x:c r="M137" s="4" t="str"/>
      <x:c r="N137" s="4" t="str"/>
      <x:c r="O137" s="4" t="str">
        <x:v>Zhi-Lin Ren et al., OF ORGANIC CHEMISTRY, 10.1002/ajoc.201900291</x:v>
      </x:c>
      <x:c r="P137" s="4" t="str"/>
    </x:row>
    <x:row r="138" ht="54" customHeight="1">
      <x:c r="A138" s="4" t="str">
        <x:v>8j</x:v>
      </x:c>
      <x:c r="B138" s="4" t="str"/>
      <x:c r="C138" s="4" t="str">
        <x:v>吡啶类</x:v>
      </x:c>
      <x:c r="D138" s="4" t="str">
        <x:v>化学合成</x:v>
      </x:c>
      <x:c r="E138" s="4" t="str">
        <x:v>以Baylis-Hillman加合物为起始原料，经AlCl3催化一锅法合成</x:v>
      </x:c>
      <x:c r="F138" s="4" t="str">
        <x:v>Botryotinia fuckeliana</x:v>
      </x:c>
      <x:c r="G138" s="4" t="str">
        <x:v>菌丝生长抑制</x:v>
      </x:c>
      <x:c r="H138" s="4" t="str">
        <x:v>20 ppm: 70%抑制</x:v>
      </x:c>
      <x:c r="I138" s="4" t="str">
        <x:v>azoxystrobin（100%抑制）</x:v>
      </x:c>
      <x:c r="J138" s="4" t="str"/>
      <x:c r="K138" s="4" t="str"/>
      <x:c r="L138" s="4" t="str"/>
      <x:c r="M138" s="4" t="str"/>
      <x:c r="N138" s="4" t="str"/>
      <x:c r="O138" s="4" t="str">
        <x:v>Zhi-Lin Ren et al., OF ORGANIC CHEMISTRY, 10.1002/ajoc.201900291</x:v>
      </x:c>
      <x:c r="P138" s="4" t="str"/>
    </x:row>
    <x:row r="139" ht="54" customHeight="1">
      <x:c r="A139" s="4" t="str">
        <x:v>8j</x:v>
      </x:c>
      <x:c r="B139" s="4" t="str"/>
      <x:c r="C139" s="4" t="str">
        <x:v>吡啶类</x:v>
      </x:c>
      <x:c r="D139" s="4" t="str">
        <x:v>化学合成</x:v>
      </x:c>
      <x:c r="E139" s="4" t="str">
        <x:v>以Baylis-Hillman加合物为起始原料，经AlCl3催化一锅法合成</x:v>
      </x:c>
      <x:c r="F139" s="4" t="str">
        <x:v>Zymoseptoria tritici</x:v>
      </x:c>
      <x:c r="G139" s="4" t="str">
        <x:v>菌丝生长抑制</x:v>
      </x:c>
      <x:c r="H139" s="4" t="str">
        <x:v>20 ppm（minimal media）: 0%抑制；20 ppm（rich media）: 35%抑制</x:v>
      </x:c>
      <x:c r="I139" s="4" t="str">
        <x:v>azoxystrobin（100%抑制）</x:v>
      </x:c>
      <x:c r="J139" s="4" t="str"/>
      <x:c r="K139" s="4" t="str"/>
      <x:c r="L139" s="4" t="str"/>
      <x:c r="M139" s="4" t="str"/>
      <x:c r="N139" s="4" t="str"/>
      <x:c r="O139" s="4" t="str">
        <x:v>Zhi-Lin Ren et al., OF ORGANIC CHEMISTRY, 10.1002/ajoc.201900291</x:v>
      </x:c>
      <x:c r="P139" s="4" t="str"/>
    </x:row>
    <x:row r="140" ht="54" customHeight="1">
      <x:c r="A140" s="4" t="str">
        <x:v>8k</x:v>
      </x:c>
      <x:c r="B140" s="4" t="str"/>
      <x:c r="C140" s="4" t="str">
        <x:v>吡啶类</x:v>
      </x:c>
      <x:c r="D140" s="4" t="str">
        <x:v>化学合成</x:v>
      </x:c>
      <x:c r="E140" s="4" t="str">
        <x:v>以Baylis-Hillman加合物为起始原料，经AlCl3催化一锅法合成</x:v>
      </x:c>
      <x:c r="F140" s="4" t="str">
        <x:v>Pythium dissimile</x:v>
      </x:c>
      <x:c r="G140" s="4" t="str">
        <x:v>菌丝生长抑制</x:v>
      </x:c>
      <x:c r="H140" s="4" t="str">
        <x:v>20 ppm: 0%抑制；100 ppm: 0%抑制</x:v>
      </x:c>
      <x:c r="I140" s="4" t="str">
        <x:v>azoxystrobin（100%抑制）</x:v>
      </x:c>
      <x:c r="J140" s="4" t="str"/>
      <x:c r="K140" s="4" t="str"/>
      <x:c r="L140" s="4" t="str"/>
      <x:c r="M140" s="4" t="str"/>
      <x:c r="N140" s="4" t="str"/>
      <x:c r="O140" s="4" t="str">
        <x:v>Zhi-Lin Ren et al., OF ORGANIC CHEMISTRY, 10.1002/ajoc.201900291</x:v>
      </x:c>
      <x:c r="P140" s="4" t="str"/>
    </x:row>
    <x:row r="141" ht="54" customHeight="1">
      <x:c r="A141" s="4" t="str">
        <x:v>8k</x:v>
      </x:c>
      <x:c r="B141" s="4" t="str"/>
      <x:c r="C141" s="4" t="str">
        <x:v>吡啶类</x:v>
      </x:c>
      <x:c r="D141" s="4" t="str">
        <x:v>化学合成</x:v>
      </x:c>
      <x:c r="E141" s="4" t="str">
        <x:v>以Baylis-Hillman加合物为起始原料，经AlCl3催化一锅法合成</x:v>
      </x:c>
      <x:c r="F141" s="4" t="str">
        <x:v>Botryotinia fuckeliana</x:v>
      </x:c>
      <x:c r="G141" s="4" t="str">
        <x:v>菌丝生长抑制</x:v>
      </x:c>
      <x:c r="H141" s="4" t="str">
        <x:v>20 ppm: 100%抑制</x:v>
      </x:c>
      <x:c r="I141" s="4" t="str">
        <x:v>azoxystrobin（100%抑制）</x:v>
      </x:c>
      <x:c r="J141" s="4" t="str"/>
      <x:c r="K141" s="4" t="str"/>
      <x:c r="L141" s="4" t="str"/>
      <x:c r="M141" s="4" t="str"/>
      <x:c r="N141" s="4" t="str"/>
      <x:c r="O141" s="4" t="str">
        <x:v>Zhi-Lin Ren et al., OF ORGANIC CHEMISTRY, 10.1002/ajoc.201900291</x:v>
      </x:c>
      <x:c r="P141" s="4" t="str"/>
    </x:row>
    <x:row r="142" ht="54" customHeight="1">
      <x:c r="A142" s="4" t="str">
        <x:v>8k</x:v>
      </x:c>
      <x:c r="B142" s="4" t="str"/>
      <x:c r="C142" s="4" t="str">
        <x:v>吡啶类</x:v>
      </x:c>
      <x:c r="D142" s="4" t="str">
        <x:v>化学合成</x:v>
      </x:c>
      <x:c r="E142" s="4" t="str">
        <x:v>以Baylis-Hillman加合物为起始原料，经AlCl3催化一锅法合成</x:v>
      </x:c>
      <x:c r="F142" s="4" t="str">
        <x:v>Zymoseptoria tritici</x:v>
      </x:c>
      <x:c r="G142" s="4" t="str">
        <x:v>菌丝生长抑制</x:v>
      </x:c>
      <x:c r="H142" s="4" t="str">
        <x:v>20 ppm（minimal media）: 55%抑制；20 ppm（rich media）: 0%抑制</x:v>
      </x:c>
      <x:c r="I142" s="4" t="str">
        <x:v>azoxystrobin（100%抑制）</x:v>
      </x:c>
      <x:c r="J142" s="4" t="str"/>
      <x:c r="K142" s="4" t="str"/>
      <x:c r="L142" s="4" t="str"/>
      <x:c r="M142" s="4" t="str"/>
      <x:c r="N142" s="4" t="str"/>
      <x:c r="O142" s="4" t="str">
        <x:v>Zhi-Lin Ren et al., OF ORGANIC CHEMISTRY, 10.1002/ajoc.201900291</x:v>
      </x:c>
      <x:c r="P142" s="4" t="str"/>
    </x:row>
    <x:row r="143" ht="54" customHeight="1">
      <x:c r="A143" s="4" t="str">
        <x:v>8o</x:v>
      </x:c>
      <x:c r="B143" s="4" t="str"/>
      <x:c r="C143" s="4" t="str">
        <x:v>吡啶类</x:v>
      </x:c>
      <x:c r="D143" s="4" t="str">
        <x:v>化学合成</x:v>
      </x:c>
      <x:c r="E143" s="4" t="str">
        <x:v>以Baylis-Hillman加合物为起始原料，经AlCl3催化一锅法合成</x:v>
      </x:c>
      <x:c r="F143" s="4" t="str">
        <x:v>Pythium dissimile</x:v>
      </x:c>
      <x:c r="G143" s="4" t="str">
        <x:v>菌丝生长抑制</x:v>
      </x:c>
      <x:c r="H143" s="4" t="str">
        <x:v>20 ppm: 55%抑制；100 ppm: 0%抑制</x:v>
      </x:c>
      <x:c r="I143" s="4" t="str">
        <x:v>azoxystrobin（100%抑制）</x:v>
      </x:c>
      <x:c r="J143" s="4" t="str"/>
      <x:c r="K143" s="4" t="str"/>
      <x:c r="L143" s="4" t="str"/>
      <x:c r="M143" s="4" t="str"/>
      <x:c r="N143" s="4" t="str"/>
      <x:c r="O143" s="4" t="str">
        <x:v>Zhi-Lin Ren et al., OF ORGANIC CHEMISTRY, 10.1002/ajoc.201900291</x:v>
      </x:c>
      <x:c r="P143" s="4" t="str"/>
    </x:row>
    <x:row r="144" ht="54" customHeight="1">
      <x:c r="A144" s="4" t="str">
        <x:v>8o</x:v>
      </x:c>
      <x:c r="B144" s="4" t="str"/>
      <x:c r="C144" s="4" t="str">
        <x:v>吡啶类</x:v>
      </x:c>
      <x:c r="D144" s="4" t="str">
        <x:v>化学合成</x:v>
      </x:c>
      <x:c r="E144" s="4" t="str">
        <x:v>以Baylis-Hillman加合物为起始原料，经AlCl3催化一锅法合成</x:v>
      </x:c>
      <x:c r="F144" s="4" t="str">
        <x:v>Botryotinia fuckeliana</x:v>
      </x:c>
      <x:c r="G144" s="4" t="str">
        <x:v>菌丝生长抑制</x:v>
      </x:c>
      <x:c r="H144" s="4" t="str">
        <x:v>20 ppm: 0%抑制</x:v>
      </x:c>
      <x:c r="I144" s="4" t="str">
        <x:v>azoxystrobin（100%抑制）</x:v>
      </x:c>
      <x:c r="J144" s="4" t="str"/>
      <x:c r="K144" s="4" t="str"/>
      <x:c r="L144" s="4" t="str"/>
      <x:c r="M144" s="4" t="str"/>
      <x:c r="N144" s="4" t="str"/>
      <x:c r="O144" s="4" t="str">
        <x:v>Zhi-Lin Ren et al., OF ORGANIC CHEMISTRY, 10.1002/ajoc.201900291</x:v>
      </x:c>
      <x:c r="P144" s="4" t="str"/>
    </x:row>
    <x:row r="145" ht="54" customHeight="1">
      <x:c r="A145" s="4" t="str">
        <x:v>8o</x:v>
      </x:c>
      <x:c r="B145" s="4" t="str"/>
      <x:c r="C145" s="4" t="str">
        <x:v>吡啶类</x:v>
      </x:c>
      <x:c r="D145" s="4" t="str">
        <x:v>化学合成</x:v>
      </x:c>
      <x:c r="E145" s="4" t="str">
        <x:v>以Baylis-Hillman加合物为起始原料，经AlCl3催化一锅法合成</x:v>
      </x:c>
      <x:c r="F145" s="4" t="str">
        <x:v>Zymoseptoria tritici</x:v>
      </x:c>
      <x:c r="G145" s="4" t="str">
        <x:v>菌丝生长抑制</x:v>
      </x:c>
      <x:c r="H145" s="4" t="str">
        <x:v>20 ppm（minimal media）: 55%抑制；20 ppm（rich media）: 0%抑制</x:v>
      </x:c>
      <x:c r="I145" s="4" t="str">
        <x:v>azoxystrobin（100%抑制）</x:v>
      </x:c>
      <x:c r="J145" s="4" t="str"/>
      <x:c r="K145" s="4" t="str"/>
      <x:c r="L145" s="4" t="str"/>
      <x:c r="M145" s="4" t="str"/>
      <x:c r="N145" s="4" t="str"/>
      <x:c r="O145" s="4" t="str">
        <x:v>Zhi-Lin Ren et al., OF ORGANIC CHEMISTRY, 10.1002/ajoc.201900291</x:v>
      </x:c>
      <x:c r="P145" s="4" t="str"/>
    </x:row>
    <x:row r="146" ht="54" customHeight="1">
      <x:c r="A146" s="4" t="str">
        <x:v>8q</x:v>
      </x:c>
      <x:c r="B146" s="4" t="str"/>
      <x:c r="C146" s="4" t="str">
        <x:v>吡啶类</x:v>
      </x:c>
      <x:c r="D146" s="4" t="str">
        <x:v>化学合成</x:v>
      </x:c>
      <x:c r="E146" s="4" t="str">
        <x:v>以Baylis-Hillman加合物为起始原料，经AlCl3催化一锅法合成</x:v>
      </x:c>
      <x:c r="F146" s="4" t="str">
        <x:v>Pythium dissimile</x:v>
      </x:c>
      <x:c r="G146" s="4" t="str">
        <x:v>菌丝生长抑制</x:v>
      </x:c>
      <x:c r="H146" s="4" t="str">
        <x:v>20 ppm: 0%抑制；100 ppm: 0%抑制</x:v>
      </x:c>
      <x:c r="I146" s="4" t="str">
        <x:v>azoxystrobin（100%抑制）</x:v>
      </x:c>
      <x:c r="J146" s="4" t="str"/>
      <x:c r="K146" s="4" t="str"/>
      <x:c r="L146" s="4" t="str"/>
      <x:c r="M146" s="4" t="str"/>
      <x:c r="N146" s="4" t="str"/>
      <x:c r="O146" s="4" t="str">
        <x:v>Zhi-Lin Ren et al., OF ORGANIC CHEMISTRY, 10.1002/ajoc.201900291</x:v>
      </x:c>
      <x:c r="P146" s="4" t="str"/>
    </x:row>
    <x:row r="147" ht="54" customHeight="1">
      <x:c r="A147" s="4" t="str">
        <x:v>8q</x:v>
      </x:c>
      <x:c r="B147" s="4" t="str"/>
      <x:c r="C147" s="4" t="str">
        <x:v>吡啶类</x:v>
      </x:c>
      <x:c r="D147" s="4" t="str">
        <x:v>化学合成</x:v>
      </x:c>
      <x:c r="E147" s="4" t="str">
        <x:v>以Baylis-Hillman加合物为起始原料，经AlCl3催化一锅法合成</x:v>
      </x:c>
      <x:c r="F147" s="4" t="str">
        <x:v>Botryotinia fuckeliana</x:v>
      </x:c>
      <x:c r="G147" s="4" t="str">
        <x:v>菌丝生长抑制</x:v>
      </x:c>
      <x:c r="H147" s="4" t="str">
        <x:v>20 ppm: 35%抑制</x:v>
      </x:c>
      <x:c r="I147" s="4" t="str">
        <x:v>azoxystrobin（100%抑制）</x:v>
      </x:c>
      <x:c r="J147" s="4" t="str"/>
      <x:c r="K147" s="4" t="str"/>
      <x:c r="L147" s="4" t="str"/>
      <x:c r="M147" s="4" t="str"/>
      <x:c r="N147" s="4" t="str"/>
      <x:c r="O147" s="4" t="str">
        <x:v>Zhi-Lin Ren et al., OF ORGANIC CHEMISTRY, 10.1002/ajoc.201900291</x:v>
      </x:c>
      <x:c r="P147" s="4" t="str"/>
    </x:row>
    <x:row r="148" ht="54" customHeight="1">
      <x:c r="A148" s="4" t="str">
        <x:v>8q</x:v>
      </x:c>
      <x:c r="B148" s="4" t="str"/>
      <x:c r="C148" s="4" t="str">
        <x:v>吡啶类</x:v>
      </x:c>
      <x:c r="D148" s="4" t="str">
        <x:v>化学合成</x:v>
      </x:c>
      <x:c r="E148" s="4" t="str">
        <x:v>以Baylis-Hillman加合物为起始原料，经AlCl3催化一锅法合成</x:v>
      </x:c>
      <x:c r="F148" s="4" t="str">
        <x:v>Zymoseptoria tritici</x:v>
      </x:c>
      <x:c r="G148" s="4" t="str">
        <x:v>菌丝生长抑制</x:v>
      </x:c>
      <x:c r="H148" s="4" t="str">
        <x:v>20 ppm（minimal media）: 0%抑制；20 ppm（rich media）: 27%抑制</x:v>
      </x:c>
      <x:c r="I148" s="4" t="str">
        <x:v>azoxystrobin（100%抑制）</x:v>
      </x:c>
      <x:c r="J148" s="4" t="str"/>
      <x:c r="K148" s="4" t="str"/>
      <x:c r="L148" s="4" t="str"/>
      <x:c r="M148" s="4" t="str"/>
      <x:c r="N148" s="4" t="str"/>
      <x:c r="O148" s="4" t="str">
        <x:v>Zhi-Lin Ren et al., OF ORGANIC CHEMISTRY, 10.1002/ajoc.201900291</x:v>
      </x:c>
      <x:c r="P148" s="4" t="str"/>
    </x:row>
    <x:row r="149" ht="54" customHeight="1">
      <x:c r="A149" s="4" t="str">
        <x:v>8r</x:v>
      </x:c>
      <x:c r="B149" s="4" t="str"/>
      <x:c r="C149" s="4" t="str">
        <x:v>吡啶类</x:v>
      </x:c>
      <x:c r="D149" s="4" t="str">
        <x:v>化学合成</x:v>
      </x:c>
      <x:c r="E149" s="4" t="str">
        <x:v>以Baylis-Hillman加合物为起始原料，经AlCl3催化一锅法合成</x:v>
      </x:c>
      <x:c r="F149" s="4" t="str">
        <x:v>Pythium dissimile</x:v>
      </x:c>
      <x:c r="G149" s="4" t="str">
        <x:v>菌丝生长抑制</x:v>
      </x:c>
      <x:c r="H149" s="4" t="str">
        <x:v>20 ppm: 0%抑制；100 ppm: 0%抑制</x:v>
      </x:c>
      <x:c r="I149" s="4" t="str">
        <x:v>azoxystrobin（100%抑制）</x:v>
      </x:c>
      <x:c r="J149" s="4" t="str"/>
      <x:c r="K149" s="4" t="str"/>
      <x:c r="L149" s="4" t="str"/>
      <x:c r="M149" s="4" t="str"/>
      <x:c r="N149" s="4" t="str"/>
      <x:c r="O149" s="4" t="str">
        <x:v>Zhi-Lin Ren et al., OF ORGANIC CHEMISTRY, 10.1002/ajoc.201900291</x:v>
      </x:c>
      <x:c r="P149" s="4" t="str"/>
    </x:row>
    <x:row r="150" ht="54" customHeight="1">
      <x:c r="A150" s="4" t="str">
        <x:v>8r</x:v>
      </x:c>
      <x:c r="B150" s="4" t="str"/>
      <x:c r="C150" s="4" t="str">
        <x:v>吡啶类</x:v>
      </x:c>
      <x:c r="D150" s="4" t="str">
        <x:v>化学合成</x:v>
      </x:c>
      <x:c r="E150" s="4" t="str">
        <x:v>以Baylis-Hillman加合物为起始原料，经AlCl3催化一锅法合成</x:v>
      </x:c>
      <x:c r="F150" s="4" t="str">
        <x:v>Botryotinia fuckeliana</x:v>
      </x:c>
      <x:c r="G150" s="4" t="str">
        <x:v>菌丝生长抑制</x:v>
      </x:c>
      <x:c r="H150" s="4" t="str">
        <x:v>20 ppm: 90%抑制</x:v>
      </x:c>
      <x:c r="I150" s="4" t="str">
        <x:v>azoxystrobin（100%抑制）</x:v>
      </x:c>
      <x:c r="J150" s="4" t="str"/>
      <x:c r="K150" s="4" t="str"/>
      <x:c r="L150" s="4" t="str"/>
      <x:c r="M150" s="4" t="str"/>
      <x:c r="N150" s="4" t="str"/>
      <x:c r="O150" s="4" t="str">
        <x:v>Zhi-Lin Ren et al., OF ORGANIC CHEMISTRY, 10.1002/ajoc.201900291</x:v>
      </x:c>
      <x:c r="P150" s="4" t="str"/>
    </x:row>
    <x:row r="151" ht="54" customHeight="1">
      <x:c r="A151" s="4" t="str">
        <x:v>8r</x:v>
      </x:c>
      <x:c r="B151" s="4" t="str"/>
      <x:c r="C151" s="4" t="str">
        <x:v>吡啶类</x:v>
      </x:c>
      <x:c r="D151" s="4" t="str">
        <x:v>化学合成</x:v>
      </x:c>
      <x:c r="E151" s="4" t="str">
        <x:v>以Baylis-Hillman加合物为起始原料，经AlCl3催化一锅法合成</x:v>
      </x:c>
      <x:c r="F151" s="4" t="str">
        <x:v>Zymoseptoria tritici</x:v>
      </x:c>
      <x:c r="G151" s="4" t="str">
        <x:v>菌丝生长抑制</x:v>
      </x:c>
      <x:c r="H151" s="4" t="str">
        <x:v>20 ppm（minimal media）: 35%抑制；20 ppm（rich media）: 0%抑制</x:v>
      </x:c>
      <x:c r="I151" s="4" t="str">
        <x:v>azoxystrobin（100%抑制）</x:v>
      </x:c>
      <x:c r="J151" s="4" t="str"/>
      <x:c r="K151" s="4" t="str"/>
      <x:c r="L151" s="4" t="str"/>
      <x:c r="M151" s="4" t="str"/>
      <x:c r="N151" s="4" t="str"/>
      <x:c r="O151" s="4" t="str">
        <x:v>Zhi-Lin Ren et al., OF ORGANIC CHEMISTRY, 10.1002/ajoc.201900291</x:v>
      </x:c>
      <x:c r="P151" s="4" t="str"/>
    </x:row>
    <x:row r="152" ht="54" customHeight="1">
      <x:c r="A152" s="4" t="str">
        <x:v>compound 3</x:v>
      </x:c>
      <x:c r="B152" s="4" t="str">
        <x:v>L-Pyroglutamic acid</x:v>
      </x:c>
      <x:c r="C152" s="4" t="str">
        <x:v>有机酸</x:v>
      </x:c>
      <x:c r="D152" s="4" t="str">
        <x:v>植物天然产物</x:v>
      </x:c>
      <x:c r="E152" s="4" t="str">
        <x:v>Disporopsis aspera Engl.，根茎</x:v>
      </x:c>
      <x:c r="F152" s="4" t="str">
        <x:v>Phytophthora infestans</x:v>
      </x:c>
      <x:c r="G152" s="4" t="str">
        <x:v>zoospore release inhibition</x:v>
      </x:c>
      <x:c r="H152" s="4" t="str">
        <x:v>EC50 = 9.48 μg/mL</x:v>
      </x:c>
      <x:c r="I152" s="4" t="str">
        <x:v>azoxystrobin, EC50=1.99 μg/mL</x:v>
      </x:c>
      <x:c r="J152" s="4" t="str"/>
      <x:c r="K152" s="4" t="str"/>
      <x:c r="L152" s="4" t="str"/>
      <x:c r="M152" s="4" t="str"/>
      <x:c r="N152" s="4" t="str"/>
      <x:c r="O152" s="4" t="str">
        <x:v>Feng Zhu et al., 2018, Chem. Biodivers., DOI:10.1002/cbdv.201800090</x:v>
      </x:c>
      <x:c r="P152" s="4" t="str"/>
    </x:row>
    <x:row r="153" ht="54" customHeight="1">
      <x:c r="A153" s="4" t="str">
        <x:v>compound 3</x:v>
      </x:c>
      <x:c r="B153" s="4" t="str">
        <x:v>L-Pyroglutamic acid</x:v>
      </x:c>
      <x:c r="C153" s="4" t="str">
        <x:v>有机酸</x:v>
      </x:c>
      <x:c r="D153" s="4" t="str">
        <x:v>植物天然产物</x:v>
      </x:c>
      <x:c r="E153" s="4" t="str">
        <x:v>Disporopsis aspera Engl.，根茎</x:v>
      </x:c>
      <x:c r="F153" s="4" t="str">
        <x:v>Pseudoperonospora cubensis</x:v>
      </x:c>
      <x:c r="G153" s="4" t="str">
        <x:v>zoospore release inhibition</x:v>
      </x:c>
      <x:c r="H153" s="4" t="str">
        <x:v>EC50 = 10.82 μg/mL</x:v>
      </x:c>
      <x:c r="I153" s="4" t="str">
        <x:v>azoxystrobin, EC50=2.39 μg/mL</x:v>
      </x:c>
      <x:c r="J153" s="4" t="str"/>
      <x:c r="K153" s="4" t="str"/>
      <x:c r="L153" s="4" t="str"/>
      <x:c r="M153" s="4" t="str"/>
      <x:c r="N153" s="4" t="str"/>
      <x:c r="O153" s="4" t="str">
        <x:v>Feng Zhu et al., 2018, Chem. Biodivers., DOI:10.1002/cbdv.201800090</x:v>
      </x:c>
      <x:c r="P153" s="4" t="str"/>
    </x:row>
    <x:row r="154" ht="54" customHeight="1">
      <x:c r="A154" s="4" t="str">
        <x:v>compound 3</x:v>
      </x:c>
      <x:c r="B154" s="4" t="str">
        <x:v>L-Pyroglutamic acid</x:v>
      </x:c>
      <x:c r="C154" s="4" t="str">
        <x:v>有机酸</x:v>
      </x:c>
      <x:c r="D154" s="4" t="str">
        <x:v>植物天然产物</x:v>
      </x:c>
      <x:c r="E154" s="4" t="str">
        <x:v>Disporopsis aspera Engl.，根茎</x:v>
      </x:c>
      <x:c r="F154" s="4" t="str">
        <x:v>Pseudoperonospora cubensis</x:v>
      </x:c>
      <x:c r="G154" s="4" t="str">
        <x:v>in vivo protective effect</x:v>
      </x:c>
      <x:c r="H154" s="4" t="str">
        <x:v>0.5 mg/mL, protection effect 75.0±1.54%, treatment effect 87.1±1.23%</x:v>
      </x:c>
      <x:c r="I154" s="4" t="str">
        <x:v>Acrobat, protection effect 82.8±0.97%, treatment effect 85.9±1.41%</x:v>
      </x:c>
      <x:c r="J154" s="4" t="str"/>
      <x:c r="K154" s="4" t="str"/>
      <x:c r="L154" s="4" t="str"/>
      <x:c r="M154" s="4" t="str"/>
      <x:c r="N154" s="4" t="str"/>
      <x:c r="O154" s="4" t="str">
        <x:v>Feng Zhu et al., 2018, Chem. Biodivers., DOI:10.1002/cbdv.201800090</x:v>
      </x:c>
      <x:c r="P154" s="4" t="str"/>
    </x:row>
    <x:row r="155" ht="54" customHeight="1">
      <x:c r="A155" s="4" t="str">
        <x:v>compound 7</x:v>
      </x:c>
      <x:c r="B155" s="4" t="str">
        <x:v>N-benzoyltryptamine</x:v>
      </x:c>
      <x:c r="C155" s="4" t="str">
        <x:v>氮化合物（酰胺类）</x:v>
      </x:c>
      <x:c r="D155" s="4" t="str">
        <x:v>植物天然产物</x:v>
      </x:c>
      <x:c r="E155" s="4" t="str">
        <x:v>Disporopsis aspera Engl.，根茎</x:v>
      </x:c>
      <x:c r="F155" s="4" t="str">
        <x:v>Phytophthora infestans</x:v>
      </x:c>
      <x:c r="G155" s="4" t="str">
        <x:v>zoospore release inhibition</x:v>
      </x:c>
      <x:c r="H155" s="4" t="str">
        <x:v>EC50 = 13.62 μg/mL</x:v>
      </x:c>
      <x:c r="I155" s="4" t="str">
        <x:v>azoxystrobin, EC50=1.99 μg/mL</x:v>
      </x:c>
      <x:c r="J155" s="4" t="str"/>
      <x:c r="K155" s="4" t="str"/>
      <x:c r="L155" s="4" t="str"/>
      <x:c r="M155" s="4" t="str"/>
      <x:c r="N155" s="4" t="str"/>
      <x:c r="O155" s="4" t="str">
        <x:v>Feng Zhu et al., 2018, Chem. Biodivers., DOI:10.1002/cbdv.201800090</x:v>
      </x:c>
      <x:c r="P155" s="4" t="str"/>
    </x:row>
    <x:row r="156" ht="54" customHeight="1">
      <x:c r="A156" s="4" t="str">
        <x:v>compound 7</x:v>
      </x:c>
      <x:c r="B156" s="4" t="str">
        <x:v>N-benzoyltryptamine</x:v>
      </x:c>
      <x:c r="C156" s="4" t="str">
        <x:v>氮化合物（酰胺类）</x:v>
      </x:c>
      <x:c r="D156" s="4" t="str">
        <x:v>植物天然产物</x:v>
      </x:c>
      <x:c r="E156" s="4" t="str">
        <x:v>Disporopsis aspera Engl.，根茎</x:v>
      </x:c>
      <x:c r="F156" s="4" t="str">
        <x:v>Pseudoperonospora cubensis</x:v>
      </x:c>
      <x:c r="G156" s="4" t="str">
        <x:v>zoospore release inhibition</x:v>
      </x:c>
      <x:c r="H156" s="4" t="str">
        <x:v>EC50 = 13.24 μg/mL</x:v>
      </x:c>
      <x:c r="I156" s="4" t="str">
        <x:v>azoxystrobin, EC50=2.39 μg/mL</x:v>
      </x:c>
      <x:c r="J156" s="4" t="str"/>
      <x:c r="K156" s="4" t="str"/>
      <x:c r="L156" s="4" t="str"/>
      <x:c r="M156" s="4" t="str"/>
      <x:c r="N156" s="4" t="str"/>
      <x:c r="O156" s="4" t="str">
        <x:v>Feng Zhu et al., 2018, Chem. Biodivers., DOI:10.1002/cbdv.201800090</x:v>
      </x:c>
      <x:c r="P156" s="4" t="str"/>
    </x:row>
    <x:row r="157" ht="54" customHeight="1">
      <x:c r="A157" s="4" t="str">
        <x:v>compound 7</x:v>
      </x:c>
      <x:c r="B157" s="4" t="str">
        <x:v>N-benzoyltryptamine</x:v>
      </x:c>
      <x:c r="C157" s="4" t="str">
        <x:v>氮化合物（酰胺类）</x:v>
      </x:c>
      <x:c r="D157" s="4" t="str">
        <x:v>植物天然产物</x:v>
      </x:c>
      <x:c r="E157" s="4" t="str">
        <x:v>Disporopsis aspera Engl.，根茎</x:v>
      </x:c>
      <x:c r="F157" s="4" t="str">
        <x:v>Pseudoperonospora cubensis</x:v>
      </x:c>
      <x:c r="G157" s="4" t="str">
        <x:v>in vivo protective effect</x:v>
      </x:c>
      <x:c r="H157" s="4" t="str">
        <x:v>0.5 mg/mL, protection effect 71.5±2.04%, treatment effect 82.0±0.88%</x:v>
      </x:c>
      <x:c r="I157" s="4" t="str">
        <x:v>Acrobat, protection effect 82.8±0.97%, treatment effect 85.9±1.41%</x:v>
      </x:c>
      <x:c r="J157" s="4" t="str"/>
      <x:c r="K157" s="4" t="str"/>
      <x:c r="L157" s="4" t="str"/>
      <x:c r="M157" s="4" t="str"/>
      <x:c r="N157" s="4" t="str"/>
      <x:c r="O157" s="4" t="str">
        <x:v>Feng Zhu et al., 2018, Chem. Biodivers., DOI:10.1002/cbdv.201800090</x:v>
      </x:c>
      <x:c r="P157" s="4" t="str"/>
    </x:row>
    <x:row r="158" ht="54" customHeight="1">
      <x:c r="A158" s="4" t="str">
        <x:v>compound 6</x:v>
      </x:c>
      <x:c r="B158" s="4" t="str">
        <x:v>α-hydroxybenzeneacetic acid</x:v>
      </x:c>
      <x:c r="C158" s="4" t="str">
        <x:v>有机酸</x:v>
      </x:c>
      <x:c r="D158" s="4" t="str">
        <x:v>植物天然产物</x:v>
      </x:c>
      <x:c r="E158" s="4" t="str">
        <x:v>Disporopsis aspera Engl.，根茎</x:v>
      </x:c>
      <x:c r="F158" s="4" t="str">
        <x:v>Phytophthora infestans</x:v>
      </x:c>
      <x:c r="G158" s="4" t="str">
        <x:v>zoospore release inhibition</x:v>
      </x:c>
      <x:c r="H158" s="4" t="str">
        <x:v>EC50 = 38.72 μg/mL</x:v>
      </x:c>
      <x:c r="I158" s="4" t="str">
        <x:v>azoxystrobin, EC50=1.99 μg/mL</x:v>
      </x:c>
      <x:c r="J158" s="4" t="str"/>
      <x:c r="K158" s="4" t="str"/>
      <x:c r="L158" s="4" t="str"/>
      <x:c r="M158" s="4" t="str"/>
      <x:c r="N158" s="4" t="str"/>
      <x:c r="O158" s="4" t="str">
        <x:v>Feng Zhu et al., 2018, Chem. Biodivers., DOI:10.1002/cbdv.201800090</x:v>
      </x:c>
      <x:c r="P158" s="4" t="str"/>
    </x:row>
    <x:row r="159" ht="54" customHeight="1">
      <x:c r="A159" s="4" t="str">
        <x:v>compound 6</x:v>
      </x:c>
      <x:c r="B159" s="4" t="str">
        <x:v>α-hydroxybenzeneacetic acid</x:v>
      </x:c>
      <x:c r="C159" s="4" t="str">
        <x:v>有机酸</x:v>
      </x:c>
      <x:c r="D159" s="4" t="str">
        <x:v>植物天然产物</x:v>
      </x:c>
      <x:c r="E159" s="4" t="str">
        <x:v>Disporopsis aspera Engl.，根茎</x:v>
      </x:c>
      <x:c r="F159" s="4" t="str">
        <x:v>Pseudoperonospora cubensis</x:v>
      </x:c>
      <x:c r="G159" s="4" t="str">
        <x:v>zoospore release inhibition</x:v>
      </x:c>
      <x:c r="H159" s="4" t="str">
        <x:v>EC50 = 36.87 μg/mL</x:v>
      </x:c>
      <x:c r="I159" s="4" t="str">
        <x:v>azoxystrobin, EC50=2.39 μg/mL</x:v>
      </x:c>
      <x:c r="J159" s="4" t="str"/>
      <x:c r="K159" s="4" t="str"/>
      <x:c r="L159" s="4" t="str"/>
      <x:c r="M159" s="4" t="str"/>
      <x:c r="N159" s="4" t="str"/>
      <x:c r="O159" s="4" t="str">
        <x:v>Feng Zhu et al., 2018, Chem. Biodivers., DOI:10.1002/cbdv.201800090</x:v>
      </x:c>
      <x:c r="P159" s="4" t="str"/>
    </x:row>
    <x:row r="160" ht="54" customHeight="1">
      <x:c r="A160" s="4" t="str">
        <x:v>compound 8</x:v>
      </x:c>
      <x:c r="B160" s="4" t="str">
        <x:v>salicylic acid</x:v>
      </x:c>
      <x:c r="C160" s="4" t="str">
        <x:v>有机酸</x:v>
      </x:c>
      <x:c r="D160" s="4" t="str">
        <x:v>植物天然产物</x:v>
      </x:c>
      <x:c r="E160" s="4" t="str">
        <x:v>Disporopsis aspera Engl.，根茎</x:v>
      </x:c>
      <x:c r="F160" s="4" t="str">
        <x:v>Phytophthora infestans</x:v>
      </x:c>
      <x:c r="G160" s="4" t="str">
        <x:v>zoospore release inhibition</x:v>
      </x:c>
      <x:c r="H160" s="4" t="str">
        <x:v>EC50 = 42.48 μg/mL</x:v>
      </x:c>
      <x:c r="I160" s="4" t="str">
        <x:v>azoxystrobin, EC50=1.99 μg/mL</x:v>
      </x:c>
      <x:c r="J160" s="4" t="str"/>
      <x:c r="K160" s="4" t="str"/>
      <x:c r="L160" s="4" t="str"/>
      <x:c r="M160" s="4" t="str"/>
      <x:c r="N160" s="4" t="str"/>
      <x:c r="O160" s="4" t="str">
        <x:v>Feng Zhu et al., 2018, Chem. Biodivers., DOI:10.1002/cbdv.201800090</x:v>
      </x:c>
      <x:c r="P160" s="4" t="str"/>
    </x:row>
    <x:row r="161" ht="54" customHeight="1">
      <x:c r="A161" s="4" t="str">
        <x:v>compound 8</x:v>
      </x:c>
      <x:c r="B161" s="4" t="str">
        <x:v>salicylic acid</x:v>
      </x:c>
      <x:c r="C161" s="4" t="str">
        <x:v>有机酸</x:v>
      </x:c>
      <x:c r="D161" s="4" t="str">
        <x:v>植物天然产物</x:v>
      </x:c>
      <x:c r="E161" s="4" t="str">
        <x:v>Disporopsis aspera Engl.，根茎</x:v>
      </x:c>
      <x:c r="F161" s="4" t="str">
        <x:v>Pseudoperonospora cubensis</x:v>
      </x:c>
      <x:c r="G161" s="4" t="str">
        <x:v>zoospore release inhibition</x:v>
      </x:c>
      <x:c r="H161" s="4" t="str">
        <x:v>EC50 = 82.32 μg/mL</x:v>
      </x:c>
      <x:c r="I161" s="4" t="str">
        <x:v>azoxystrobin, EC50=2.39 μg/mL</x:v>
      </x:c>
      <x:c r="J161" s="4" t="str"/>
      <x:c r="K161" s="4" t="str"/>
      <x:c r="L161" s="4" t="str"/>
      <x:c r="M161" s="4" t="str"/>
      <x:c r="N161" s="4" t="str"/>
      <x:c r="O161" s="4" t="str">
        <x:v>Feng Zhu et al., 2018, Chem. Biodivers., DOI:10.1002/cbdv.201800090</x:v>
      </x:c>
      <x:c r="P161" s="4" t="str"/>
    </x:row>
    <x:row r="162" ht="54" customHeight="1">
      <x:c r="A162" s="4" t="str">
        <x:v>compound 1</x:v>
      </x:c>
      <x:c r="B162" s="4" t="str">
        <x:v>(22S,25S)-Spirost-5(6)-ene-3β,4β-diol-3-O-β-D-glucopyranoside</x:v>
      </x:c>
      <x:c r="C162" s="4" t="str">
        <x:v>甾体皂苷</x:v>
      </x:c>
      <x:c r="D162" s="4" t="str">
        <x:v>植物天然产物</x:v>
      </x:c>
      <x:c r="E162" s="4" t="str">
        <x:v>Disporopsis aspera Engl.，根茎</x:v>
      </x:c>
      <x:c r="F162" s="4" t="str">
        <x:v>Phytophthora infestans</x:v>
      </x:c>
      <x:c r="G162" s="4" t="str">
        <x:v>zoospore release inhibition</x:v>
      </x:c>
      <x:c r="H162" s="4" t="str">
        <x:v>EC50 = 75.12 μg/mL</x:v>
      </x:c>
      <x:c r="I162" s="4" t="str">
        <x:v>azoxystrobin, EC50=1.99 μg/mL</x:v>
      </x:c>
      <x:c r="J162" s="4" t="str"/>
      <x:c r="K162" s="4" t="str"/>
      <x:c r="L162" s="4" t="str"/>
      <x:c r="M162" s="4" t="str"/>
      <x:c r="N162" s="4" t="str"/>
      <x:c r="O162" s="4" t="str">
        <x:v>Feng Zhu et al., 2018, Chem. Biodivers., DOI:10.1002/cbdv.201800090</x:v>
      </x:c>
      <x:c r="P162" s="4" t="str"/>
    </x:row>
    <x:row r="163" ht="54" customHeight="1">
      <x:c r="A163" s="4" t="str">
        <x:v>compound 1</x:v>
      </x:c>
      <x:c r="B163" s="4" t="str">
        <x:v>(22S,25S)-Spirost-5(6)-ene-3β,4β-diol-3-O-β-D-glucopyranoside</x:v>
      </x:c>
      <x:c r="C163" s="4" t="str">
        <x:v>甾体皂苷</x:v>
      </x:c>
      <x:c r="D163" s="4" t="str">
        <x:v>植物天然产物</x:v>
      </x:c>
      <x:c r="E163" s="4" t="str">
        <x:v>Disporopsis aspera Engl.，根茎</x:v>
      </x:c>
      <x:c r="F163" s="4" t="str">
        <x:v>Pseudoperonospora cubensis</x:v>
      </x:c>
      <x:c r="G163" s="4" t="str">
        <x:v>zoospore release inhibition</x:v>
      </x:c>
      <x:c r="H163" s="4" t="str">
        <x:v>EC50 = 85.84 μg/mL</x:v>
      </x:c>
      <x:c r="I163" s="4" t="str">
        <x:v>azoxystrobin, EC50=2.39 μg/mL</x:v>
      </x:c>
      <x:c r="J163" s="4" t="str"/>
      <x:c r="K163" s="4" t="str"/>
      <x:c r="L163" s="4" t="str"/>
      <x:c r="M163" s="4" t="str"/>
      <x:c r="N163" s="4" t="str"/>
      <x:c r="O163" s="4" t="str">
        <x:v>Feng Zhu et al., 2018, Chem. Biodivers., DOI:10.1002/cbdv.201800090</x:v>
      </x:c>
      <x:c r="P163" s="4" t="str"/>
    </x:row>
    <x:row r="164" ht="54" customHeight="1">
      <x:c r="A164" s="4" t="str">
        <x:v>compound 2</x:v>
      </x:c>
      <x:c r="B164" s="4" t="str">
        <x:v>(22S,25S)-Spirost-5(6)-ene-3β,4β-diol-β-D-glucopyranoside-(6→2)-3-O-β-D-glucopyranoside</x:v>
      </x:c>
      <x:c r="C164" s="4" t="str">
        <x:v>甾体皂苷</x:v>
      </x:c>
      <x:c r="D164" s="4" t="str">
        <x:v>植物天然产物</x:v>
      </x:c>
      <x:c r="E164" s="4" t="str">
        <x:v>Disporopsis aspera Engl.，根茎</x:v>
      </x:c>
      <x:c r="F164" s="4" t="str">
        <x:v>Phytophthora infestans</x:v>
      </x:c>
      <x:c r="G164" s="4" t="str">
        <x:v>zoospore release inhibition</x:v>
      </x:c>
      <x:c r="H164" s="4" t="str">
        <x:v>no activity at 100 μg/mL; EC50 not reported</x:v>
      </x:c>
      <x:c r="I164" s="4" t="str">
        <x:v>azoxystrobin, EC50=1.99 μg/mL</x:v>
      </x:c>
      <x:c r="J164" s="4" t="str"/>
      <x:c r="K164" s="4" t="str"/>
      <x:c r="L164" s="4" t="str"/>
      <x:c r="M164" s="4" t="str"/>
      <x:c r="N164" s="4" t="str"/>
      <x:c r="O164" s="4" t="str">
        <x:v>Feng Zhu et al., 2018, Chem. Biodivers., DOI:10.1002/cbdv.201800090</x:v>
      </x:c>
      <x:c r="P164" s="4" t="str"/>
    </x:row>
    <x:row r="165" ht="54" customHeight="1">
      <x:c r="A165" s="4" t="str">
        <x:v>compound 2</x:v>
      </x:c>
      <x:c r="B165" s="4" t="str">
        <x:v>(22S,25S)-Spirost-5(6)-ene-3β,4β-diol-β-D-glucopyranoside-(6→2)-3-O-β-D-glucopyranoside</x:v>
      </x:c>
      <x:c r="C165" s="4" t="str">
        <x:v>甾体皂苷</x:v>
      </x:c>
      <x:c r="D165" s="4" t="str">
        <x:v>植物天然产物</x:v>
      </x:c>
      <x:c r="E165" s="4" t="str">
        <x:v>Disporopsis aspera Engl.，根茎</x:v>
      </x:c>
      <x:c r="F165" s="4" t="str">
        <x:v>Pseudoperonospora cubensis</x:v>
      </x:c>
      <x:c r="G165" s="4" t="str">
        <x:v>zoospore release inhibition</x:v>
      </x:c>
      <x:c r="H165" s="4" t="str">
        <x:v>no activity at 100 μg/mL; EC50 not reported</x:v>
      </x:c>
      <x:c r="I165" s="4" t="str">
        <x:v>azoxystrobin, EC50=2.39 μg/mL</x:v>
      </x:c>
      <x:c r="J165" s="4" t="str"/>
      <x:c r="K165" s="4" t="str"/>
      <x:c r="L165" s="4" t="str"/>
      <x:c r="M165" s="4" t="str"/>
      <x:c r="N165" s="4" t="str"/>
      <x:c r="O165" s="4" t="str">
        <x:v>Feng Zhu et al., 2018, Chem. Biodivers., DOI:10.1002/cbdv.201800090</x:v>
      </x:c>
      <x:c r="P165" s="4" t="str"/>
    </x:row>
    <x:row r="166" ht="54" customHeight="1">
      <x:c r="A166" s="4" t="str">
        <x:v>2b</x:v>
      </x:c>
      <x:c r="B166" s="4" t="str">
        <x:v>(E)-5-ethyl-4-[(4-pyridyl)methyleneamino]-1,2,4-triazole-3-thione</x:v>
      </x:c>
      <x:c r="C166" s="4" t="str">
        <x:v>杂环化合物（1,2,4-三唑席夫碱）</x:v>
      </x:c>
      <x:c r="D166" s="4" t="str">
        <x:v>化学合成</x:v>
      </x:c>
      <x:c r="E166" s="4" t="str">
        <x:v>以4-氨基-5-乙基-1,2,4-三唑硫酮与4-吡啶甲醛在冰醋酸催化下缩合</x:v>
      </x:c>
      <x:c r="F166" s="4" t="str">
        <x:v>Pythium solani</x:v>
      </x:c>
      <x:c r="G166" s="4" t="str">
        <x:v>菌丝生长抑制</x:v>
      </x:c>
      <x:c r="H166" s="4" t="str">
        <x:v>58.7% 抑制率（50 μg/mL）</x:v>
      </x:c>
      <x:c r="I166" s="4" t="str">
        <x:v>triadimefon, 80.3% 抑制率（50 μg/mL）</x:v>
      </x:c>
      <x:c r="J166" s="4" t="str"/>
      <x:c r="K166" s="4" t="str"/>
      <x:c r="L166" s="4" t="str"/>
      <x:c r="M166" s="4" t="str"/>
      <x:c r="N166" s="4" t="str"/>
      <x:c r="O166" s="4" t="str">
        <x:v>Jin Ruyi et al., Schiff Base Derivatives, DOI:10.1002/cbdv.201800263</x:v>
      </x:c>
      <x:c r="P166" s="4" t="str"/>
    </x:row>
    <x:row r="167" ht="54" customHeight="1">
      <x:c r="A167" s="4" t="str">
        <x:v>2c</x:v>
      </x:c>
      <x:c r="B167" s="4" t="str">
        <x:v>(E)-5-propyl-4-[(4-pyridyl)methyleneamino]-1,2,4-triazole-3-thione</x:v>
      </x:c>
      <x:c r="C167" s="4" t="str">
        <x:v>杂环化合物（1,2,4-三唑席夫碱）</x:v>
      </x:c>
      <x:c r="D167" s="4" t="str">
        <x:v>化学合成</x:v>
      </x:c>
      <x:c r="E167" s="4" t="str">
        <x:v>以4-氨基-5-丙基-1,2,4-三唑硫酮与4-吡啶甲醛在冰醋酸催化下缩合</x:v>
      </x:c>
      <x:c r="F167" s="4" t="str">
        <x:v>Pythium solani</x:v>
      </x:c>
      <x:c r="G167" s="4" t="str">
        <x:v>菌丝生长抑制</x:v>
      </x:c>
      <x:c r="H167" s="4" t="str">
        <x:v>65.7% 抑制率（50 μg/mL）</x:v>
      </x:c>
      <x:c r="I167" s="4" t="str">
        <x:v>triadimefon, 80.3% 抑制率（50 μg/mL）</x:v>
      </x:c>
      <x:c r="J167" s="4" t="str"/>
      <x:c r="K167" s="4" t="str"/>
      <x:c r="L167" s="4" t="str"/>
      <x:c r="M167" s="4" t="str"/>
      <x:c r="N167" s="4" t="str"/>
      <x:c r="O167" s="4" t="str">
        <x:v>Jin Ruyi et al., Schiff Base Derivatives, DOI:10.1002/cbdv.201800263</x:v>
      </x:c>
      <x:c r="P167" s="4" t="str"/>
    </x:row>
    <x:row r="168" ht="54" customHeight="1">
      <x:c r="A168" s="4" t="str">
        <x:v>2f</x:v>
      </x:c>
      <x:c r="B168" s="4" t="str">
        <x:v>(E)-5-(4-methylphenyl)-4-[(4-pyridyl)methyleneamino]-1,2,4-triazole-3-thione</x:v>
      </x:c>
      <x:c r="C168" s="4" t="str">
        <x:v>杂环化合物（1,2,4-三唑席夫碱）</x:v>
      </x:c>
      <x:c r="D168" s="4" t="str">
        <x:v>化学合成</x:v>
      </x:c>
      <x:c r="E168" s="4" t="str">
        <x:v>以4-氨基-5-(4-甲基苯基)-1,2,4-三唑硫酮与4-吡啶甲醛在冰醋酸催化下缩合</x:v>
      </x:c>
      <x:c r="F168" s="4" t="str">
        <x:v>Pythium solani</x:v>
      </x:c>
      <x:c r="G168" s="4" t="str">
        <x:v>菌丝生长抑制</x:v>
      </x:c>
      <x:c r="H168" s="4" t="str">
        <x:v>69.5% 抑制率（50 μg/mL）</x:v>
      </x:c>
      <x:c r="I168" s="4" t="str">
        <x:v>triadimefon, 80.3% 抑制率（50 μg/mL）</x:v>
      </x:c>
      <x:c r="J168" s="4" t="str"/>
      <x:c r="K168" s="4" t="str"/>
      <x:c r="L168" s="4" t="str"/>
      <x:c r="M168" s="4" t="str"/>
      <x:c r="N168" s="4" t="str"/>
      <x:c r="O168" s="4" t="str">
        <x:v>Jin Ruyi et al., Schiff Base Derivatives, DOI:10.1002/cbdv.201800263</x:v>
      </x:c>
      <x:c r="P168" s="4" t="str"/>
    </x:row>
    <x:row r="169" ht="54" customHeight="1">
      <x:c r="A169" s="4" t="str">
        <x:v>2g</x:v>
      </x:c>
      <x:c r="B169" s="4" t="str">
        <x:v>(E)-5-(2-methoxylphenyl)-4-[(4-pyridyl)methyleneamino]-1,2,4-triazole-3-thione</x:v>
      </x:c>
      <x:c r="C169" s="4" t="str">
        <x:v>杂环化合物（1,2,4-三唑席夫碱）</x:v>
      </x:c>
      <x:c r="D169" s="4" t="str">
        <x:v>化学合成</x:v>
      </x:c>
      <x:c r="E169" s="4" t="str">
        <x:v>以4-氨基-5-(2-甲氧基苯基)-1,2,4-三唑硫酮与4-吡啶甲醛在冰醋酸催化下缩合</x:v>
      </x:c>
      <x:c r="F169" s="4" t="str">
        <x:v>Pythium solani</x:v>
      </x:c>
      <x:c r="G169" s="4" t="str">
        <x:v>菌丝生长抑制</x:v>
      </x:c>
      <x:c r="H169" s="4" t="str">
        <x:v>72.8% 抑制率（50 μg/mL）</x:v>
      </x:c>
      <x:c r="I169" s="4" t="str">
        <x:v>triadimefon, 80.3% 抑制率（50 μg/mL）</x:v>
      </x:c>
      <x:c r="J169" s="4" t="str"/>
      <x:c r="K169" s="4" t="str"/>
      <x:c r="L169" s="4" t="str"/>
      <x:c r="M169" s="4" t="str"/>
      <x:c r="N169" s="4" t="str"/>
      <x:c r="O169" s="4" t="str">
        <x:v>Jin Ruyi et al., Schiff Base Derivatives, DOI:10.1002/cbdv.201800263</x:v>
      </x:c>
      <x:c r="P169" s="4" t="str"/>
    </x:row>
    <x:row r="170" ht="54" customHeight="1">
      <x:c r="A170" s="4" t="str">
        <x:v>3a</x:v>
      </x:c>
      <x:c r="B170" s="4" t="str">
        <x:v>(E)-5H-4-[(3-bromo-6-hydroxy-2-methoxyphenyl)methyleneamino]-1,2,4-triazole-3-thione</x:v>
      </x:c>
      <x:c r="C170" s="4" t="str">
        <x:v>杂环化合物（1,2,4-三唑席夫碱）</x:v>
      </x:c>
      <x:c r="D170" s="4" t="str">
        <x:v>化学合成</x:v>
      </x:c>
      <x:c r="E170" s="4" t="str">
        <x:v>以4-氨基-1,2,4-三唑硫酮与3-溴-6-羟基-2-甲氧基苯甲醛在冰醋酸催化下缩合</x:v>
      </x:c>
      <x:c r="F170" s="4" t="str">
        <x:v>Pythium solani</x:v>
      </x:c>
      <x:c r="G170" s="4" t="str">
        <x:v>菌丝生长抑制</x:v>
      </x:c>
      <x:c r="H170" s="4" t="str">
        <x:v>67.8% 抑制率（50 μg/mL）</x:v>
      </x:c>
      <x:c r="I170" s="4" t="str">
        <x:v>triadimefon, 80.3% 抑制率（50 μg/mL）</x:v>
      </x:c>
      <x:c r="J170" s="4" t="str"/>
      <x:c r="K170" s="4" t="str"/>
      <x:c r="L170" s="4" t="str"/>
      <x:c r="M170" s="4" t="str"/>
      <x:c r="N170" s="4" t="str"/>
      <x:c r="O170" s="4" t="str">
        <x:v>Jin Ruyi et al., Schiff Base Derivatives, DOI:10.1002/cbdv.201800263</x:v>
      </x:c>
      <x:c r="P170" s="4" t="str"/>
    </x:row>
    <x:row r="171" ht="54" customHeight="1">
      <x:c r="A171" s="4" t="str">
        <x:v>4a</x:v>
      </x:c>
      <x:c r="B171" s="4" t="str">
        <x:v>(E)-5H-4-[(4-(1H-imidazol)phenyl)methyleneamino]-1,2,4-triazole-3-thione</x:v>
      </x:c>
      <x:c r="C171" s="4" t="str">
        <x:v>杂环化合物（1,2,4-三唑席夫碱）</x:v>
      </x:c>
      <x:c r="D171" s="4" t="str">
        <x:v>化学合成</x:v>
      </x:c>
      <x:c r="E171" s="4" t="str">
        <x:v>以4-氨基-1,2,4-三唑硫酮与4-(1H-咪唑基)苯甲醛在冰醋酸催化下缩合</x:v>
      </x:c>
      <x:c r="F171" s="4" t="str">
        <x:v>Pythium solani</x:v>
      </x:c>
      <x:c r="G171" s="4" t="str">
        <x:v>菌丝生长抑制</x:v>
      </x:c>
      <x:c r="H171" s="4" t="str">
        <x:v>82.8% 抑制率（50 μg/mL）</x:v>
      </x:c>
      <x:c r="I171" s="4" t="str">
        <x:v>triadimefon, 80.3% 抑制率（50 μg/mL）</x:v>
      </x:c>
      <x:c r="J171" s="4" t="str"/>
      <x:c r="K171" s="4" t="str"/>
      <x:c r="L171" s="4" t="str"/>
      <x:c r="M171" s="4" t="str"/>
      <x:c r="N171" s="4" t="str"/>
      <x:c r="O171" s="4" t="str">
        <x:v>Jin Ruyi et al., Schiff Base Derivatives, DOI:10.1002/cbdv.201800263</x:v>
      </x:c>
      <x:c r="P171" s="4" t="str"/>
    </x:row>
    <x:row r="172" ht="54" customHeight="1">
      <x:c r="A172" s="4" t="str">
        <x:v>4b</x:v>
      </x:c>
      <x:c r="B172" s="4" t="str">
        <x:v>(E)-5-ethyl-4-[(4-(1H-imidazol)phenyl)methyleneamino]-1,2,4-triazole-3-thione</x:v>
      </x:c>
      <x:c r="C172" s="4" t="str">
        <x:v>杂环化合物（1,2,4-三唑席夫碱）</x:v>
      </x:c>
      <x:c r="D172" s="4" t="str">
        <x:v>化学合成</x:v>
      </x:c>
      <x:c r="E172" s="4" t="str">
        <x:v>以4-氨基-5-乙基-1,2,4-三唑硫酮与4-(1H-咪唑基)苯甲醛在冰醋酸催化下缩合</x:v>
      </x:c>
      <x:c r="F172" s="4" t="str">
        <x:v>Pythium solani</x:v>
      </x:c>
      <x:c r="G172" s="4" t="str">
        <x:v>菌丝生长抑制</x:v>
      </x:c>
      <x:c r="H172" s="4" t="str">
        <x:v>76.4% 抑制率（50 μg/mL）</x:v>
      </x:c>
      <x:c r="I172" s="4" t="str">
        <x:v>triadimefon, 80.3% 抑制率（50 μg/mL）</x:v>
      </x:c>
      <x:c r="J172" s="4" t="str"/>
      <x:c r="K172" s="4" t="str"/>
      <x:c r="L172" s="4" t="str"/>
      <x:c r="M172" s="4" t="str"/>
      <x:c r="N172" s="4" t="str"/>
      <x:c r="O172" s="4" t="str">
        <x:v>Jin Ruyi et al., Schiff Base Derivatives, DOI:10.1002/cbdv.201800263</x:v>
      </x:c>
      <x:c r="P172" s="4" t="str"/>
    </x:row>
    <x:row r="173" ht="54" customHeight="1">
      <x:c r="A173" s="4" t="str">
        <x:v>4e</x:v>
      </x:c>
      <x:c r="B173" s="4" t="str">
        <x:v>(E)-5-(4-pridyl)-4-[(4-(1H-imidazol)phenyl)methyleneamino]-1,2,4-triazole-3-thione</x:v>
      </x:c>
      <x:c r="C173" s="4" t="str">
        <x:v>杂环化合物（1,2,4-三唑席夫碱）</x:v>
      </x:c>
      <x:c r="D173" s="4" t="str">
        <x:v>化学合成</x:v>
      </x:c>
      <x:c r="E173" s="4" t="str">
        <x:v>以4-氨基-5-(4-吡啶基)-1,2,4-三唑硫酮与4-(1H-咪唑基)苯甲醛在冰醋酸催化下缩合</x:v>
      </x:c>
      <x:c r="F173" s="4" t="str">
        <x:v>Pythium solani</x:v>
      </x:c>
      <x:c r="G173" s="4" t="str">
        <x:v>菌丝生长抑制</x:v>
      </x:c>
      <x:c r="H173" s="4" t="str">
        <x:v>76.3% 抑制率（50 μg/mL）</x:v>
      </x:c>
      <x:c r="I173" s="4" t="str">
        <x:v>triadimefon, 80.3% 抑制率（50 μg/mL）</x:v>
      </x:c>
      <x:c r="J173" s="4" t="str"/>
      <x:c r="K173" s="4" t="str"/>
      <x:c r="L173" s="4" t="str"/>
      <x:c r="M173" s="4" t="str"/>
      <x:c r="N173" s="4" t="str"/>
      <x:c r="O173" s="4" t="str">
        <x:v>Jin Ruyi et al., Schiff Base Derivatives, DOI:10.1002/cbdv.201800263</x:v>
      </x:c>
      <x:c r="P173" s="4" t="str"/>
    </x:row>
    <x:row r="174" ht="54" customHeight="1">
      <x:c r="A174" s="4" t="str">
        <x:v>2b</x:v>
      </x:c>
      <x:c r="B174" s="4" t="str">
        <x:v>(E)-5-ethyl-4-[(4-pyridyl)methyleneamino]-1,2,4-triazole-3-thione</x:v>
      </x:c>
      <x:c r="C174" s="4" t="str">
        <x:v>杂环化合物（1,2,4-三唑席夫碱）</x:v>
      </x:c>
      <x:c r="D174" s="4" t="str">
        <x:v>化学合成</x:v>
      </x:c>
      <x:c r="E174" s="4" t="str">
        <x:v>以4-氨基-5-乙基-1,2,4-三唑硫酮与4-吡啶甲醛在冰醋酸催化下缩合</x:v>
      </x:c>
      <x:c r="F174" s="4" t="str">
        <x:v>Gibberlla nicotiancola</x:v>
      </x:c>
      <x:c r="G174" s="4" t="str">
        <x:v>菌丝生长抑制</x:v>
      </x:c>
      <x:c r="H174" s="4" t="str">
        <x:v>68.3% 抑制率（50 μg/mL）</x:v>
      </x:c>
      <x:c r="I174" s="4" t="str">
        <x:v>triadimefon, 56.2% 抑制率（50 μg/mL）</x:v>
      </x:c>
      <x:c r="J174" s="4" t="str"/>
      <x:c r="K174" s="4" t="str"/>
      <x:c r="L174" s="4" t="str"/>
      <x:c r="M174" s="4" t="str"/>
      <x:c r="N174" s="4" t="str"/>
      <x:c r="O174" s="4" t="str">
        <x:v>Jin Ruyi et al., Schiff Base Derivatives, DOI:10.1002/cbdv.201800263</x:v>
      </x:c>
      <x:c r="P174" s="4" t="str"/>
    </x:row>
    <x:row r="175" ht="54" customHeight="1">
      <x:c r="A175" s="4" t="str">
        <x:v>2c</x:v>
      </x:c>
      <x:c r="B175" s="4" t="str">
        <x:v>(E)-5-propyl-4-[(4-pyridyl)methyleneamino]-1,2,4-triazole-3-thione</x:v>
      </x:c>
      <x:c r="C175" s="4" t="str">
        <x:v>杂环化合物（1,2,4-三唑席夫碱）</x:v>
      </x:c>
      <x:c r="D175" s="4" t="str">
        <x:v>化学合成</x:v>
      </x:c>
      <x:c r="E175" s="4" t="str">
        <x:v>以4-氨基-5-丙基-1,2,4-三唑硫酮与4-吡啶甲醛在冰醋酸催化下缩合</x:v>
      </x:c>
      <x:c r="F175" s="4" t="str">
        <x:v>Gibberlla nicotiancola</x:v>
      </x:c>
      <x:c r="G175" s="4" t="str">
        <x:v>菌丝生长抑制</x:v>
      </x:c>
      <x:c r="H175" s="4" t="str">
        <x:v>70.1% 抑制率（50 μg/mL）</x:v>
      </x:c>
      <x:c r="I175" s="4" t="str">
        <x:v>triadimefon, 56.2% 抑制率（50 μg/mL）</x:v>
      </x:c>
      <x:c r="J175" s="4" t="str"/>
      <x:c r="K175" s="4" t="str"/>
      <x:c r="L175" s="4" t="str"/>
      <x:c r="M175" s="4" t="str"/>
      <x:c r="N175" s="4" t="str"/>
      <x:c r="O175" s="4" t="str">
        <x:v>Jin Ruyi et al., Schiff Base Derivatives, DOI:10.1002/cbdv.201800263</x:v>
      </x:c>
      <x:c r="P175" s="4" t="str"/>
    </x:row>
    <x:row r="176" ht="54" customHeight="1">
      <x:c r="A176" s="4" t="str">
        <x:v>2f</x:v>
      </x:c>
      <x:c r="B176" s="4" t="str">
        <x:v>(E)-5-(4-methylphenyl)-4-[(4-pyridyl)methyleneamino]-1,2,4-triazole-3-thione</x:v>
      </x:c>
      <x:c r="C176" s="4" t="str">
        <x:v>杂环化合物（1,2,4-三唑席夫碱）</x:v>
      </x:c>
      <x:c r="D176" s="4" t="str">
        <x:v>化学合成</x:v>
      </x:c>
      <x:c r="E176" s="4" t="str">
        <x:v>以4-氨基-5-(4-甲基苯基)-1,2,4-三唑硫酮与4-吡啶甲醛在冰醋酸催化下缩合</x:v>
      </x:c>
      <x:c r="F176" s="4" t="str">
        <x:v>Gibberlla nicotiancola</x:v>
      </x:c>
      <x:c r="G176" s="4" t="str">
        <x:v>菌丝生长抑制</x:v>
      </x:c>
      <x:c r="H176" s="4" t="str">
        <x:v>68.1% 抑制率（50 μg/mL）</x:v>
      </x:c>
      <x:c r="I176" s="4" t="str">
        <x:v>triadimefon, 56.2% 抑制率（50 μg/mL）</x:v>
      </x:c>
      <x:c r="J176" s="4" t="str"/>
      <x:c r="K176" s="4" t="str"/>
      <x:c r="L176" s="4" t="str"/>
      <x:c r="M176" s="4" t="str"/>
      <x:c r="N176" s="4" t="str"/>
      <x:c r="O176" s="4" t="str">
        <x:v>Jin Ruyi et al., Schiff Base Derivatives, DOI:10.1002/cbdv.201800263</x:v>
      </x:c>
      <x:c r="P176" s="4" t="str"/>
    </x:row>
    <x:row r="177" ht="54" customHeight="1">
      <x:c r="A177" s="4" t="str">
        <x:v>2g</x:v>
      </x:c>
      <x:c r="B177" s="4" t="str">
        <x:v>(E)-5-(2-methoxylphenyl)-4-[(4-pyridyl)methyleneamino]-1,2,4-triazole-3-thione</x:v>
      </x:c>
      <x:c r="C177" s="4" t="str">
        <x:v>杂环化合物（1,2,4-三唑席夫碱）</x:v>
      </x:c>
      <x:c r="D177" s="4" t="str">
        <x:v>化学合成</x:v>
      </x:c>
      <x:c r="E177" s="4" t="str">
        <x:v>以4-氨基-5-(2-甲氧基苯基)-1,2,4-三唑硫酮与4-吡啶甲醛在冰醋酸催化下缩合</x:v>
      </x:c>
      <x:c r="F177" s="4" t="str">
        <x:v>Gibberlla nicotiancola</x:v>
      </x:c>
      <x:c r="G177" s="4" t="str">
        <x:v>菌丝生长抑制</x:v>
      </x:c>
      <x:c r="H177" s="4" t="str">
        <x:v>63.4% 抑制率（50 μg/mL）</x:v>
      </x:c>
      <x:c r="I177" s="4" t="str">
        <x:v>triadimefon, 56.2% 抑制率（50 μg/mL）</x:v>
      </x:c>
      <x:c r="J177" s="4" t="str"/>
      <x:c r="K177" s="4" t="str"/>
      <x:c r="L177" s="4" t="str"/>
      <x:c r="M177" s="4" t="str"/>
      <x:c r="N177" s="4" t="str"/>
      <x:c r="O177" s="4" t="str">
        <x:v>Jin Ruyi et al., Schiff Base Derivatives, DOI:10.1002/cbdv.201800263</x:v>
      </x:c>
      <x:c r="P177" s="4" t="str"/>
    </x:row>
    <x:row r="178" ht="54" customHeight="1">
      <x:c r="A178" s="4" t="str">
        <x:v>3a</x:v>
      </x:c>
      <x:c r="B178" s="4" t="str">
        <x:v>(E)-5H-4-[(3-bromo-6-hydroxy-2-methoxyphenyl)methyleneamino]-1,2,4-triazole-3-thione</x:v>
      </x:c>
      <x:c r="C178" s="4" t="str">
        <x:v>杂环化合物（1,2,4-三唑席夫碱）</x:v>
      </x:c>
      <x:c r="D178" s="4" t="str">
        <x:v>化学合成</x:v>
      </x:c>
      <x:c r="E178" s="4" t="str">
        <x:v>以4-氨基-1,2,4-三唑硫酮与3-溴-6-羟基-2-甲氧基苯甲醛在冰醋酸催化下缩合</x:v>
      </x:c>
      <x:c r="F178" s="4" t="str">
        <x:v>Gibberlla nicotiancola</x:v>
      </x:c>
      <x:c r="G178" s="4" t="str">
        <x:v>菌丝生长抑制</x:v>
      </x:c>
      <x:c r="H178" s="4" t="str">
        <x:v>59.2% 抑制率（50 μg/mL）</x:v>
      </x:c>
      <x:c r="I178" s="4" t="str">
        <x:v>triadimefon, 56.2% 抑制率（50 μg/mL）</x:v>
      </x:c>
      <x:c r="J178" s="4" t="str"/>
      <x:c r="K178" s="4" t="str"/>
      <x:c r="L178" s="4" t="str"/>
      <x:c r="M178" s="4" t="str"/>
      <x:c r="N178" s="4" t="str"/>
      <x:c r="O178" s="4" t="str">
        <x:v>Jin Ruyi et al., Schiff Base Derivatives, DOI:10.1002/cbdv.201800263</x:v>
      </x:c>
      <x:c r="P178" s="4" t="str"/>
    </x:row>
    <x:row r="179" ht="54" customHeight="1">
      <x:c r="A179" s="4" t="str">
        <x:v>4a</x:v>
      </x:c>
      <x:c r="B179" s="4" t="str">
        <x:v>(E)-5H-4-[(4-(1H-imidazol)phenyl)methyleneamino]-1,2,4-triazole-3-thione</x:v>
      </x:c>
      <x:c r="C179" s="4" t="str">
        <x:v>杂环化合物（1,2,4-三唑席夫碱）</x:v>
      </x:c>
      <x:c r="D179" s="4" t="str">
        <x:v>化学合成</x:v>
      </x:c>
      <x:c r="E179" s="4" t="str">
        <x:v>以4-氨基-1,2,4-三唑硫酮与4-(1H-咪唑基)苯甲醛在冰醋酸催化下缩合</x:v>
      </x:c>
      <x:c r="F179" s="4" t="str">
        <x:v>Gibberlla nicotiancola</x:v>
      </x:c>
      <x:c r="G179" s="4" t="str">
        <x:v>菌丝生长抑制</x:v>
      </x:c>
      <x:c r="H179" s="4" t="str">
        <x:v>66.8% 抑制率（50 μg/mL）</x:v>
      </x:c>
      <x:c r="I179" s="4" t="str">
        <x:v>triadimefon, 56.2% 抑制率（50 μg/mL）</x:v>
      </x:c>
      <x:c r="J179" s="4" t="str"/>
      <x:c r="K179" s="4" t="str"/>
      <x:c r="L179" s="4" t="str"/>
      <x:c r="M179" s="4" t="str"/>
      <x:c r="N179" s="4" t="str"/>
      <x:c r="O179" s="4" t="str">
        <x:v>Jin Ruyi et al., Schiff Base Derivatives, DOI:10.1002/cbdv.201800263</x:v>
      </x:c>
      <x:c r="P179" s="4" t="str"/>
    </x:row>
    <x:row r="180" ht="54" customHeight="1">
      <x:c r="A180" s="4" t="str">
        <x:v>4b</x:v>
      </x:c>
      <x:c r="B180" s="4" t="str">
        <x:v>(E)-5-ethyl-4-[(4-(1H-imidazol)phenyl)methyleneamino]-1,2,4-triazole-3-thione</x:v>
      </x:c>
      <x:c r="C180" s="4" t="str">
        <x:v>杂环化合物（1,2,4-三唑席夫碱）</x:v>
      </x:c>
      <x:c r="D180" s="4" t="str">
        <x:v>化学合成</x:v>
      </x:c>
      <x:c r="E180" s="4" t="str">
        <x:v>以4-氨基-5-乙基-1,2,4-三唑硫酮与4-(1H-咪唑基)苯甲醛在冰醋酸催化下缩合</x:v>
      </x:c>
      <x:c r="F180" s="4" t="str">
        <x:v>Gibberlla nicotiancola</x:v>
      </x:c>
      <x:c r="G180" s="4" t="str">
        <x:v>菌丝生长抑制</x:v>
      </x:c>
      <x:c r="H180" s="4" t="str">
        <x:v>62.3% 抑制率（50 μg/mL）</x:v>
      </x:c>
      <x:c r="I180" s="4" t="str">
        <x:v>triadimefon, 56.2% 抑制率（50 μg/mL）</x:v>
      </x:c>
      <x:c r="J180" s="4" t="str"/>
      <x:c r="K180" s="4" t="str"/>
      <x:c r="L180" s="4" t="str"/>
      <x:c r="M180" s="4" t="str"/>
      <x:c r="N180" s="4" t="str"/>
      <x:c r="O180" s="4" t="str">
        <x:v>Jin Ruyi et al., Schiff Base Derivatives, DOI:10.1002/cbdv.201800263</x:v>
      </x:c>
      <x:c r="P180" s="4" t="str"/>
    </x:row>
    <x:row r="181" ht="54" customHeight="1">
      <x:c r="A181" s="4" t="str">
        <x:v>4e</x:v>
      </x:c>
      <x:c r="B181" s="4" t="str">
        <x:v>(E)-5-(4-pridyl)-4-[(4-(1H-imidazol)phenyl)methyleneamino]-1,2,4-triazole-3-thione</x:v>
      </x:c>
      <x:c r="C181" s="4" t="str">
        <x:v>杂环化合物（1,2,4-三唑席夫碱）</x:v>
      </x:c>
      <x:c r="D181" s="4" t="str">
        <x:v>化学合成</x:v>
      </x:c>
      <x:c r="E181" s="4" t="str">
        <x:v>以4-氨基-5-(4-吡啶基)-1,2,4-三唑硫酮与4-(1H-咪唑基)苯甲醛在冰醋酸催化下缩合</x:v>
      </x:c>
      <x:c r="F181" s="4" t="str">
        <x:v>Gibberlla nicotiancola</x:v>
      </x:c>
      <x:c r="G181" s="4" t="str">
        <x:v>菌丝生长抑制</x:v>
      </x:c>
      <x:c r="H181" s="4" t="str">
        <x:v>60.5% 抑制率（50 μg/mL）</x:v>
      </x:c>
      <x:c r="I181" s="4" t="str">
        <x:v>triadimefon, 56.2% 抑制率（50 μg/mL）</x:v>
      </x:c>
      <x:c r="J181" s="4" t="str"/>
      <x:c r="K181" s="4" t="str"/>
      <x:c r="L181" s="4" t="str"/>
      <x:c r="M181" s="4" t="str"/>
      <x:c r="N181" s="4" t="str"/>
      <x:c r="O181" s="4" t="str">
        <x:v>Jin Ruyi et al., Schiff Base Derivatives, DOI:10.1002/cbdv.201800263</x:v>
      </x:c>
      <x:c r="P181" s="4" t="str"/>
    </x:row>
    <x:row r="182" ht="54" customHeight="1">
      <x:c r="A182" s="4" t="str">
        <x:v>2b</x:v>
      </x:c>
      <x:c r="B182" s="4" t="str">
        <x:v>(E)-5-ethyl-4-[(4-pyridyl)methyleneamino]-1,2,4-triazole-3-thione</x:v>
      </x:c>
      <x:c r="C182" s="4" t="str">
        <x:v>杂环化合物（1,2,4-三唑席夫碱）</x:v>
      </x:c>
      <x:c r="D182" s="4" t="str">
        <x:v>化学合成</x:v>
      </x:c>
      <x:c r="E182" s="4" t="str">
        <x:v>以4-氨基-5-乙基-1,2,4-三唑硫酮与4-吡啶甲醛在冰醋酸催化下缩合</x:v>
      </x:c>
      <x:c r="F182" s="4" t="str">
        <x:v>Fusarium oxysporium f. sp. niveum</x:v>
      </x:c>
      <x:c r="G182" s="4" t="str">
        <x:v>菌丝生长抑制</x:v>
      </x:c>
      <x:c r="H182" s="4" t="str">
        <x:v>53.6% 抑制率（50 μg/mL）</x:v>
      </x:c>
      <x:c r="I182" s="4" t="str">
        <x:v>triadimefon, 82.5% 抑制率（50 μg/mL）</x:v>
      </x:c>
      <x:c r="J182" s="4" t="str"/>
      <x:c r="K182" s="4" t="str"/>
      <x:c r="L182" s="4" t="str"/>
      <x:c r="M182" s="4" t="str"/>
      <x:c r="N182" s="4" t="str"/>
      <x:c r="O182" s="4" t="str">
        <x:v>Jin Ruyi et al., Schiff Base Derivatives, DOI:10.1002/cbdv.201800263</x:v>
      </x:c>
      <x:c r="P182" s="4" t="str"/>
    </x:row>
    <x:row r="183" ht="54" customHeight="1">
      <x:c r="A183" s="4" t="str">
        <x:v>2c</x:v>
      </x:c>
      <x:c r="B183" s="4" t="str">
        <x:v>(E)-5-propyl-4-[(4-pyridyl)methyleneamino]-1,2,4-triazole-3-thione</x:v>
      </x:c>
      <x:c r="C183" s="4" t="str">
        <x:v>杂环化合物（1,2,4-三唑席夫碱）</x:v>
      </x:c>
      <x:c r="D183" s="4" t="str">
        <x:v>化学合成</x:v>
      </x:c>
      <x:c r="E183" s="4" t="str">
        <x:v>以4-氨基-5-丙基-1,2,4-三唑硫酮与4-吡啶甲醛在冰醋酸催化下缩合</x:v>
      </x:c>
      <x:c r="F183" s="4" t="str">
        <x:v>Fusarium oxysporium f. sp. niveum</x:v>
      </x:c>
      <x:c r="G183" s="4" t="str">
        <x:v>菌丝生长抑制</x:v>
      </x:c>
      <x:c r="H183" s="4" t="str">
        <x:v>60.2% 抑制率（50 μg/mL）</x:v>
      </x:c>
      <x:c r="I183" s="4" t="str">
        <x:v>triadimefon, 82.5% 抑制率（50 μg/mL）</x:v>
      </x:c>
      <x:c r="J183" s="4" t="str"/>
      <x:c r="K183" s="4" t="str"/>
      <x:c r="L183" s="4" t="str"/>
      <x:c r="M183" s="4" t="str"/>
      <x:c r="N183" s="4" t="str"/>
      <x:c r="O183" s="4" t="str">
        <x:v>Jin Ruyi et al., Schiff Base Derivatives, DOI:10.1002/cbdv.201800263</x:v>
      </x:c>
      <x:c r="P183" s="4" t="str"/>
    </x:row>
    <x:row r="184" ht="54" customHeight="1">
      <x:c r="A184" s="4" t="str">
        <x:v>2f</x:v>
      </x:c>
      <x:c r="B184" s="4" t="str">
        <x:v>(E)-5-(4-methylphenyl)-4-[(4-pyridyl)methyleneamino]-1,2,4-triazole-3-thione</x:v>
      </x:c>
      <x:c r="C184" s="4" t="str">
        <x:v>杂环化合物（1,2,4-三唑席夫碱）</x:v>
      </x:c>
      <x:c r="D184" s="4" t="str">
        <x:v>化学合成</x:v>
      </x:c>
      <x:c r="E184" s="4" t="str">
        <x:v>以4-氨基-5-(4-甲基苯基)-1,2,4-三唑硫酮与4-吡啶甲醛在冰醋酸催化下缩合</x:v>
      </x:c>
      <x:c r="F184" s="4" t="str">
        <x:v>Fusarium oxysporium f. sp. niveum</x:v>
      </x:c>
      <x:c r="G184" s="4" t="str">
        <x:v>菌丝生长抑制</x:v>
      </x:c>
      <x:c r="H184" s="4" t="str">
        <x:v>69.2% 抑制率（50 μg/mL）</x:v>
      </x:c>
      <x:c r="I184" s="4" t="str">
        <x:v>triadimefon, 82.5% 抑制率（50 μg/mL）</x:v>
      </x:c>
      <x:c r="J184" s="4" t="str"/>
      <x:c r="K184" s="4" t="str"/>
      <x:c r="L184" s="4" t="str"/>
      <x:c r="M184" s="4" t="str"/>
      <x:c r="N184" s="4" t="str"/>
      <x:c r="O184" s="4" t="str">
        <x:v>Jin Ruyi et al., Schiff Base Derivatives, DOI:10.1002/cbdv.201800263</x:v>
      </x:c>
      <x:c r="P184" s="4" t="str"/>
    </x:row>
    <x:row r="185" ht="54" customHeight="1">
      <x:c r="A185" s="4" t="str">
        <x:v>2g</x:v>
      </x:c>
      <x:c r="B185" s="4" t="str">
        <x:v>(E)-5-(2-methoxylphenyl)-4-[(4-pyridyl)methyleneamino]-1,2,4-triazole-3-thione</x:v>
      </x:c>
      <x:c r="C185" s="4" t="str">
        <x:v>杂环化合物（1,2,4-三唑席夫碱）</x:v>
      </x:c>
      <x:c r="D185" s="4" t="str">
        <x:v>化学合成</x:v>
      </x:c>
      <x:c r="E185" s="4" t="str">
        <x:v>以4-氨基-5-(2-甲氧基苯基)-1,2,4-三唑硫酮与4-吡啶甲醛在冰醋酸催化下缩合</x:v>
      </x:c>
      <x:c r="F185" s="4" t="str">
        <x:v>Fusarium oxysporium f. sp. niveum</x:v>
      </x:c>
      <x:c r="G185" s="4" t="str">
        <x:v>菌丝生长抑制</x:v>
      </x:c>
      <x:c r="H185" s="4" t="str">
        <x:v>73.9% 抑制率（50 μg/mL）</x:v>
      </x:c>
      <x:c r="I185" s="4" t="str">
        <x:v>triadimefon, 82.5% 抑制率（50 μg/mL）</x:v>
      </x:c>
      <x:c r="J185" s="4" t="str"/>
      <x:c r="K185" s="4" t="str"/>
      <x:c r="L185" s="4" t="str"/>
      <x:c r="M185" s="4" t="str"/>
      <x:c r="N185" s="4" t="str"/>
      <x:c r="O185" s="4" t="str">
        <x:v>Jin Ruyi et al., Schiff Base Derivatives, DOI:10.1002/cbdv.201800263</x:v>
      </x:c>
      <x:c r="P185" s="4" t="str"/>
    </x:row>
    <x:row r="186" ht="54" customHeight="1">
      <x:c r="A186" s="4" t="str">
        <x:v>3a</x:v>
      </x:c>
      <x:c r="B186" s="4" t="str">
        <x:v>(E)-5H-4-[(3-bromo-6-hydroxy-2-methoxyphenyl)methyleneamino]-1,2,4-triazole-3-thione</x:v>
      </x:c>
      <x:c r="C186" s="4" t="str">
        <x:v>杂环化合物（1,2,4-三唑席夫碱）</x:v>
      </x:c>
      <x:c r="D186" s="4" t="str">
        <x:v>化学合成</x:v>
      </x:c>
      <x:c r="E186" s="4" t="str">
        <x:v>以4-氨基-1,2,4-三唑硫酮与3-溴-6-羟基-2-甲氧基苯甲醛在冰醋酸催化下缩合</x:v>
      </x:c>
      <x:c r="F186" s="4" t="str">
        <x:v>Fusarium oxysporium f. sp. niveum</x:v>
      </x:c>
      <x:c r="G186" s="4" t="str">
        <x:v>菌丝生长抑制</x:v>
      </x:c>
      <x:c r="H186" s="4" t="str">
        <x:v>79.4% 抑制率（50 μg/mL）</x:v>
      </x:c>
      <x:c r="I186" s="4" t="str">
        <x:v>triadimefon, 82.5% 抑制率（50 μg/mL）</x:v>
      </x:c>
      <x:c r="J186" s="4" t="str"/>
      <x:c r="K186" s="4" t="str"/>
      <x:c r="L186" s="4" t="str"/>
      <x:c r="M186" s="4" t="str"/>
      <x:c r="N186" s="4" t="str"/>
      <x:c r="O186" s="4" t="str">
        <x:v>Jin Ruyi et al., Schiff Base Derivatives, DOI:10.1002/cbdv.201800263</x:v>
      </x:c>
      <x:c r="P186" s="4" t="str"/>
    </x:row>
    <x:row r="187" ht="54" customHeight="1">
      <x:c r="A187" s="4" t="str">
        <x:v>4a</x:v>
      </x:c>
      <x:c r="B187" s="4" t="str">
        <x:v>(E)-5H-4-[(4-(1H-imidazol)phenyl)methyleneamino]-1,2,4-triazole-3-thione</x:v>
      </x:c>
      <x:c r="C187" s="4" t="str">
        <x:v>杂环化合物（1,2,4-三唑席夫碱）</x:v>
      </x:c>
      <x:c r="D187" s="4" t="str">
        <x:v>化学合成</x:v>
      </x:c>
      <x:c r="E187" s="4" t="str">
        <x:v>以4-氨基-1,2,4-三唑硫酮与4-(1H-咪唑基)苯甲醛在冰醋酸催化下缩合</x:v>
      </x:c>
      <x:c r="F187" s="4" t="str">
        <x:v>Fusarium oxysporium f. sp. niveum</x:v>
      </x:c>
      <x:c r="G187" s="4" t="str">
        <x:v>菌丝生长抑制</x:v>
      </x:c>
      <x:c r="H187" s="4" t="str">
        <x:v>83.6% 抑制率（50 μg/mL）</x:v>
      </x:c>
      <x:c r="I187" s="4" t="str">
        <x:v>triadimefon, 82.5% 抑制率（50 μg/mL）</x:v>
      </x:c>
      <x:c r="J187" s="4" t="str"/>
      <x:c r="K187" s="4" t="str"/>
      <x:c r="L187" s="4" t="str"/>
      <x:c r="M187" s="4" t="str"/>
      <x:c r="N187" s="4" t="str"/>
      <x:c r="O187" s="4" t="str">
        <x:v>Jin Ruyi et al., Schiff Base Derivatives, DOI:10.1002/cbdv.201800263</x:v>
      </x:c>
      <x:c r="P187" s="4" t="str"/>
    </x:row>
    <x:row r="188" ht="54" customHeight="1">
      <x:c r="A188" s="4" t="str">
        <x:v>4b</x:v>
      </x:c>
      <x:c r="B188" s="4" t="str">
        <x:v>(E)-5-ethyl-4-[(4-(1H-imidazol)phenyl)methyleneamino]-1,2,4-triazole-3-thione</x:v>
      </x:c>
      <x:c r="C188" s="4" t="str">
        <x:v>杂环化合物（1,2,4-三唑席夫碱）</x:v>
      </x:c>
      <x:c r="D188" s="4" t="str">
        <x:v>化学合成</x:v>
      </x:c>
      <x:c r="E188" s="4" t="str">
        <x:v>以4-氨基-5-乙基-1,2,4-三唑硫酮与4-(1H-咪唑基)苯甲醛在冰醋酸催化下缩合</x:v>
      </x:c>
      <x:c r="F188" s="4" t="str">
        <x:v>Fusarium oxysporium f. sp. niveum</x:v>
      </x:c>
      <x:c r="G188" s="4" t="str">
        <x:v>菌丝生长抑制</x:v>
      </x:c>
      <x:c r="H188" s="4" t="str">
        <x:v>80.9% 抑制率（50 μg/mL）</x:v>
      </x:c>
      <x:c r="I188" s="4" t="str">
        <x:v>triadimefon, 82.5% 抑制率（50 μg/mL）</x:v>
      </x:c>
      <x:c r="J188" s="4" t="str"/>
      <x:c r="K188" s="4" t="str"/>
      <x:c r="L188" s="4" t="str"/>
      <x:c r="M188" s="4" t="str"/>
      <x:c r="N188" s="4" t="str"/>
      <x:c r="O188" s="4" t="str">
        <x:v>Jin Ruyi et al., Schiff Base Derivatives, DOI:10.1002/cbdv.201800263</x:v>
      </x:c>
      <x:c r="P188" s="4" t="str"/>
    </x:row>
    <x:row r="189" ht="54" customHeight="1">
      <x:c r="A189" s="4" t="str">
        <x:v>4e</x:v>
      </x:c>
      <x:c r="B189" s="4" t="str">
        <x:v>(E)-5-(4-pridyl)-4-[(4-(1H-imidazol)phenyl)methyleneamino]-1,2,4-triazole-3-thione</x:v>
      </x:c>
      <x:c r="C189" s="4" t="str">
        <x:v>杂环化合物（1,2,4-三唑席夫碱）</x:v>
      </x:c>
      <x:c r="D189" s="4" t="str">
        <x:v>化学合成</x:v>
      </x:c>
      <x:c r="E189" s="4" t="str">
        <x:v>以4-氨基-5-(4-吡啶基)-1,2,4-三唑硫酮与4-(1H-咪唑基)苯甲醛在冰醋酸催化下缩合</x:v>
      </x:c>
      <x:c r="F189" s="4" t="str">
        <x:v>Fusarium oxysporium f. sp. niveum</x:v>
      </x:c>
      <x:c r="G189" s="4" t="str">
        <x:v>菌丝生长抑制</x:v>
      </x:c>
      <x:c r="H189" s="4" t="str">
        <x:v>60.7% 抑制率（50 μg/mL）</x:v>
      </x:c>
      <x:c r="I189" s="4" t="str">
        <x:v>triadimefon, 82.5% 抑制率（50 μg/mL）</x:v>
      </x:c>
      <x:c r="J189" s="4" t="str"/>
      <x:c r="K189" s="4" t="str"/>
      <x:c r="L189" s="4" t="str"/>
      <x:c r="M189" s="4" t="str"/>
      <x:c r="N189" s="4" t="str"/>
      <x:c r="O189" s="4" t="str">
        <x:v>Jin Ruyi et al., Schiff Base Derivatives, DOI:10.1002/cbdv.201800263</x:v>
      </x:c>
      <x:c r="P189" s="4" t="str"/>
    </x:row>
    <x:row r="190" ht="54" customHeight="1">
      <x:c r="A190" s="4" t="str">
        <x:v>2b</x:v>
      </x:c>
      <x:c r="B190" s="4" t="str">
        <x:v>(E)-5-ethyl-4-[(4-pyridyl)methyleneamino]-1,2,4-triazole-3-thione</x:v>
      </x:c>
      <x:c r="C190" s="4" t="str">
        <x:v>杂环化合物（1,2,4-三唑席夫碱）</x:v>
      </x:c>
      <x:c r="D190" s="4" t="str">
        <x:v>化学合成</x:v>
      </x:c>
      <x:c r="E190" s="4" t="str">
        <x:v>以4-氨基-5-乙基-1,2,4-三唑硫酮与4-吡啶甲醛在冰醋酸催化下缩合</x:v>
      </x:c>
      <x:c r="F190" s="4" t="str">
        <x:v>Gibberlla saubinetii</x:v>
      </x:c>
      <x:c r="G190" s="4" t="str">
        <x:v>菌丝生长抑制</x:v>
      </x:c>
      <x:c r="H190" s="4" t="str">
        <x:v>38.5% 抑制率（50 μg/mL）</x:v>
      </x:c>
      <x:c r="I190" s="4" t="str">
        <x:v>triadimefon, 71.9% 抑制率（50 μg/mL）</x:v>
      </x:c>
      <x:c r="J190" s="4" t="str"/>
      <x:c r="K190" s="4" t="str"/>
      <x:c r="L190" s="4" t="str"/>
      <x:c r="M190" s="4" t="str"/>
      <x:c r="N190" s="4" t="str"/>
      <x:c r="O190" s="4" t="str">
        <x:v>Jin Ruyi et al., Schiff Base Derivatives, DOI:10.1002/cbdv.201800263</x:v>
      </x:c>
      <x:c r="P190" s="4" t="str"/>
    </x:row>
    <x:row r="191" ht="54" customHeight="1">
      <x:c r="A191" s="4" t="str">
        <x:v>2c</x:v>
      </x:c>
      <x:c r="B191" s="4" t="str">
        <x:v>(E)-5-propyl-4-[(4-pyridyl)methyleneamino]-1,2,4-triazole-3-thione</x:v>
      </x:c>
      <x:c r="C191" s="4" t="str">
        <x:v>杂环化合物（1,2,4-三唑席夫碱）</x:v>
      </x:c>
      <x:c r="D191" s="4" t="str">
        <x:v>化学合成</x:v>
      </x:c>
      <x:c r="E191" s="4" t="str">
        <x:v>以4-氨基-5-丙基-1,2,4-三唑硫酮与4-吡啶甲醛在冰醋酸催化下缩合</x:v>
      </x:c>
      <x:c r="F191" s="4" t="str">
        <x:v>Gibberlla saubinetii</x:v>
      </x:c>
      <x:c r="G191" s="4" t="str">
        <x:v>菌丝生长抑制</x:v>
      </x:c>
      <x:c r="H191" s="4" t="str">
        <x:v>25.6% 抑制率（50 μg/mL）</x:v>
      </x:c>
      <x:c r="I191" s="4" t="str">
        <x:v>triadimefon, 71.9% 抑制率（50 μg/mL）</x:v>
      </x:c>
      <x:c r="J191" s="4" t="str"/>
      <x:c r="K191" s="4" t="str"/>
      <x:c r="L191" s="4" t="str"/>
      <x:c r="M191" s="4" t="str"/>
      <x:c r="N191" s="4" t="str"/>
      <x:c r="O191" s="4" t="str">
        <x:v>Jin Ruyi et al., Schiff Base Derivatives, DOI:10.1002/cbdv.201800263</x:v>
      </x:c>
      <x:c r="P191" s="4" t="str"/>
    </x:row>
    <x:row r="192" ht="54" customHeight="1">
      <x:c r="A192" s="4" t="str">
        <x:v>2f</x:v>
      </x:c>
      <x:c r="B192" s="4" t="str">
        <x:v>(E)-5-(4-methylphenyl)-4-[(4-pyridyl)methyleneamino]-1,2,4-triazole-3-thione</x:v>
      </x:c>
      <x:c r="C192" s="4" t="str">
        <x:v>杂环化合物（1,2,4-三唑席夫碱）</x:v>
      </x:c>
      <x:c r="D192" s="4" t="str">
        <x:v>化学合成</x:v>
      </x:c>
      <x:c r="E192" s="4" t="str">
        <x:v>以4-氨基-5-(4-甲基苯基)-1,2,4-三唑硫酮与4-吡啶甲醛在冰醋酸催化下缩合</x:v>
      </x:c>
      <x:c r="F192" s="4" t="str">
        <x:v>Gibberlla saubinetii</x:v>
      </x:c>
      <x:c r="G192" s="4" t="str">
        <x:v>菌丝生长抑制</x:v>
      </x:c>
      <x:c r="H192" s="4" t="str">
        <x:v>56.3% 抑制率（50 μg/mL）</x:v>
      </x:c>
      <x:c r="I192" s="4" t="str">
        <x:v>triadimefon, 71.9% 抑制率（50 μg/mL）</x:v>
      </x:c>
      <x:c r="J192" s="4" t="str"/>
      <x:c r="K192" s="4" t="str"/>
      <x:c r="L192" s="4" t="str"/>
      <x:c r="M192" s="4" t="str"/>
      <x:c r="N192" s="4" t="str"/>
      <x:c r="O192" s="4" t="str">
        <x:v>Jin Ruyi et al., Schiff Base Derivatives, DOI:10.1002/cbdv.201800263</x:v>
      </x:c>
      <x:c r="P192" s="4" t="str"/>
    </x:row>
    <x:row r="193" ht="54" customHeight="1">
      <x:c r="A193" s="4" t="str">
        <x:v>2g</x:v>
      </x:c>
      <x:c r="B193" s="4" t="str">
        <x:v>(E)-5-(2-methoxylphenyl)-4-[(4-pyridyl)methyleneamino]-1,2,4-triazole-3-thione</x:v>
      </x:c>
      <x:c r="C193" s="4" t="str">
        <x:v>杂环化合物（1,2,4-三唑席夫碱）</x:v>
      </x:c>
      <x:c r="D193" s="4" t="str">
        <x:v>化学合成</x:v>
      </x:c>
      <x:c r="E193" s="4" t="str">
        <x:v>以4-氨基-5-(2-甲氧基苯基)-1,2,4-三唑硫酮与4-吡啶甲醛在冰醋酸催化下缩合</x:v>
      </x:c>
      <x:c r="F193" s="4" t="str">
        <x:v>Gibberlla saubinetii</x:v>
      </x:c>
      <x:c r="G193" s="4" t="str">
        <x:v>菌丝生长抑制</x:v>
      </x:c>
      <x:c r="H193" s="4" t="str">
        <x:v>32.3% 抑制率（50 μg/mL）</x:v>
      </x:c>
      <x:c r="I193" s="4" t="str">
        <x:v>triadimefon, 71.9% 抑制率（50 μg/mL）</x:v>
      </x:c>
      <x:c r="J193" s="4" t="str"/>
      <x:c r="K193" s="4" t="str"/>
      <x:c r="L193" s="4" t="str"/>
      <x:c r="M193" s="4" t="str"/>
      <x:c r="N193" s="4" t="str"/>
      <x:c r="O193" s="4" t="str">
        <x:v>Jin Ruyi et al., Schiff Base Derivatives, DOI:10.1002/cbdv.201800263</x:v>
      </x:c>
      <x:c r="P193" s="4" t="str"/>
    </x:row>
    <x:row r="194" ht="54" customHeight="1">
      <x:c r="A194" s="4" t="str">
        <x:v>3a</x:v>
      </x:c>
      <x:c r="B194" s="4" t="str">
        <x:v>(E)-5H-4-[(3-bromo-6-hydroxy-2-methoxyphenyl)methyleneamino]-1,2,4-triazole-3-thione</x:v>
      </x:c>
      <x:c r="C194" s="4" t="str">
        <x:v>杂环化合物（1,2,4-三唑席夫碱）</x:v>
      </x:c>
      <x:c r="D194" s="4" t="str">
        <x:v>化学合成</x:v>
      </x:c>
      <x:c r="E194" s="4" t="str">
        <x:v>以4-氨基-1,2,4-三唑硫酮与3-溴-6-羟基-2-甲氧基苯甲醛在冰醋酸催化下缩合</x:v>
      </x:c>
      <x:c r="F194" s="4" t="str">
        <x:v>Gibberlla saubinetii</x:v>
      </x:c>
      <x:c r="G194" s="4" t="str">
        <x:v>菌丝生长抑制</x:v>
      </x:c>
      <x:c r="H194" s="4" t="str">
        <x:v>28.1% 抑制率（50 μg/mL）</x:v>
      </x:c>
      <x:c r="I194" s="4" t="str">
        <x:v>triadimefon, 71.9% 抑制率（50 μg/mL）</x:v>
      </x:c>
      <x:c r="J194" s="4" t="str"/>
      <x:c r="K194" s="4" t="str"/>
      <x:c r="L194" s="4" t="str"/>
      <x:c r="M194" s="4" t="str"/>
      <x:c r="N194" s="4" t="str"/>
      <x:c r="O194" s="4" t="str">
        <x:v>Jin Ruyi et al., Schiff Base Derivatives, DOI:10.1002/cbdv.201800263</x:v>
      </x:c>
      <x:c r="P194" s="4" t="str"/>
    </x:row>
    <x:row r="195" ht="54" customHeight="1">
      <x:c r="A195" s="4" t="str">
        <x:v>4a</x:v>
      </x:c>
      <x:c r="B195" s="4" t="str">
        <x:v>(E)-5H-4-[(4-(1H-imidazol)phenyl)methyleneamino]-1,2,4-triazole-3-thione</x:v>
      </x:c>
      <x:c r="C195" s="4" t="str">
        <x:v>杂环化合物（1,2,4-三唑席夫碱）</x:v>
      </x:c>
      <x:c r="D195" s="4" t="str">
        <x:v>化学合成</x:v>
      </x:c>
      <x:c r="E195" s="4" t="str">
        <x:v>以4-氨基-1,2,4-三唑硫酮与4-(1H-咪唑基)苯甲醛在冰醋酸催化下缩合</x:v>
      </x:c>
      <x:c r="F195" s="4" t="str">
        <x:v>Gibberlla saubinetii</x:v>
      </x:c>
      <x:c r="G195" s="4" t="str">
        <x:v>菌丝生长抑制</x:v>
      </x:c>
      <x:c r="H195" s="4" t="str">
        <x:v>27.5% 抑制率（50 μg/mL）</x:v>
      </x:c>
      <x:c r="I195" s="4" t="str">
        <x:v>triadimefon, 71.9% 抑制率（50 μg/mL）</x:v>
      </x:c>
      <x:c r="J195" s="4" t="str"/>
      <x:c r="K195" s="4" t="str"/>
      <x:c r="L195" s="4" t="str"/>
      <x:c r="M195" s="4" t="str"/>
      <x:c r="N195" s="4" t="str"/>
      <x:c r="O195" s="4" t="str">
        <x:v>Jin Ruyi et al., Schiff Base Derivatives, DOI:10.1002/cbdv.201800263</x:v>
      </x:c>
      <x:c r="P195" s="4" t="str"/>
    </x:row>
    <x:row r="196" ht="54" customHeight="1">
      <x:c r="A196" s="4" t="str">
        <x:v>4b</x:v>
      </x:c>
      <x:c r="B196" s="4" t="str">
        <x:v>(E)-5-ethyl-4-[(4-(1H-imidazol)phenyl)methyleneamino]-1,2,4-triazole-3-thione</x:v>
      </x:c>
      <x:c r="C196" s="4" t="str">
        <x:v>杂环化合物（1,2,4-三唑席夫碱）</x:v>
      </x:c>
      <x:c r="D196" s="4" t="str">
        <x:v>化学合成</x:v>
      </x:c>
      <x:c r="E196" s="4" t="str">
        <x:v>以4-氨基-5-乙基-1,2,4-三唑硫酮与4-(1H-咪唑基)苯甲醛在冰醋酸催化下缩合</x:v>
      </x:c>
      <x:c r="F196" s="4" t="str">
        <x:v>Gibberlla saubinetii</x:v>
      </x:c>
      <x:c r="G196" s="4" t="str">
        <x:v>菌丝生长抑制</x:v>
      </x:c>
      <x:c r="H196" s="4" t="str">
        <x:v>18.8% 抑制率（50 μg/mL）</x:v>
      </x:c>
      <x:c r="I196" s="4" t="str">
        <x:v>triadimefon, 71.9% 抑制率（50 μg/mL）</x:v>
      </x:c>
      <x:c r="J196" s="4" t="str"/>
      <x:c r="K196" s="4" t="str"/>
      <x:c r="L196" s="4" t="str"/>
      <x:c r="M196" s="4" t="str"/>
      <x:c r="N196" s="4" t="str"/>
      <x:c r="O196" s="4" t="str">
        <x:v>Jin Ruyi et al., Schiff Base Derivatives, DOI:10.1002/cbdv.201800263</x:v>
      </x:c>
      <x:c r="P196" s="4" t="str"/>
    </x:row>
    <x:row r="197" ht="54" customHeight="1">
      <x:c r="A197" s="4" t="str">
        <x:v>4e</x:v>
      </x:c>
      <x:c r="B197" s="4" t="str">
        <x:v>(E)-5-(4-pridyl)-4-[(4-(1H-imidazol)phenyl)methyleneamino]-1,2,4-triazole-3-thione</x:v>
      </x:c>
      <x:c r="C197" s="4" t="str">
        <x:v>杂环化合物（1,2,4-三唑席夫碱）</x:v>
      </x:c>
      <x:c r="D197" s="4" t="str">
        <x:v>化学合成</x:v>
      </x:c>
      <x:c r="E197" s="4" t="str">
        <x:v>以4-氨基-5-(4-吡啶基)-1,2,4-三唑硫酮与4-(1H-咪唑基)苯甲醛在冰醋酸催化下缩合</x:v>
      </x:c>
      <x:c r="F197" s="4" t="str">
        <x:v>Gibberlla saubinetii</x:v>
      </x:c>
      <x:c r="G197" s="4" t="str">
        <x:v>菌丝生长抑制</x:v>
      </x:c>
      <x:c r="H197" s="4" t="str">
        <x:v>18.8% 抑制率（50 μg/mL）</x:v>
      </x:c>
      <x:c r="I197" s="4" t="str">
        <x:v>triadimefon, 71.9% 抑制率（50 μg/mL）</x:v>
      </x:c>
      <x:c r="J197" s="4" t="str"/>
      <x:c r="K197" s="4" t="str"/>
      <x:c r="L197" s="4" t="str"/>
      <x:c r="M197" s="4" t="str"/>
      <x:c r="N197" s="4" t="str"/>
      <x:c r="O197" s="4" t="str">
        <x:v>Jin Ruyi et al., Schiff Base Derivatives, DOI:10.1002/cbdv.201800263</x:v>
      </x:c>
      <x:c r="P197" s="4" t="str"/>
    </x:row>
    <x:row r="198" ht="54" customHeight="1">
      <x:c r="A198" s="4" t="str">
        <x:v>2b</x:v>
      </x:c>
      <x:c r="B198" s="4" t="str">
        <x:v>(E)-5-ethyl-4-[(4-pyridyl)methyleneamino]-1,2,4-triazole-3-thione</x:v>
      </x:c>
      <x:c r="C198" s="4" t="str">
        <x:v>杂环化合物（1,2,4-三唑席夫碱）</x:v>
      </x:c>
      <x:c r="D198" s="4" t="str">
        <x:v>化学合成</x:v>
      </x:c>
      <x:c r="E198" s="4" t="str">
        <x:v>以4-氨基-5-乙基-1,2,4-三唑硫酮与4-吡啶甲醛在冰醋酸催化下缩合</x:v>
      </x:c>
      <x:c r="F198" s="4" t="str">
        <x:v>Alternaria iycopersici</x:v>
      </x:c>
      <x:c r="G198" s="4" t="str">
        <x:v>菌丝生长抑制</x:v>
      </x:c>
      <x:c r="H198" s="4" t="str">
        <x:v>46.5% 抑制率（50 μg/mL）</x:v>
      </x:c>
      <x:c r="I198" s="4" t="str">
        <x:v>triadimefon, 52.9% 抑制率（50 μg/mL）</x:v>
      </x:c>
      <x:c r="J198" s="4" t="str"/>
      <x:c r="K198" s="4" t="str"/>
      <x:c r="L198" s="4" t="str"/>
      <x:c r="M198" s="4" t="str"/>
      <x:c r="N198" s="4" t="str"/>
      <x:c r="O198" s="4" t="str">
        <x:v>Jin Ruyi et al., Schiff Base Derivatives, DOI:10.1002/cbdv.201800263</x:v>
      </x:c>
      <x:c r="P198" s="4" t="str"/>
    </x:row>
    <x:row r="199" ht="54" customHeight="1">
      <x:c r="A199" s="4" t="str">
        <x:v>2c</x:v>
      </x:c>
      <x:c r="B199" s="4" t="str">
        <x:v>(E)-5-propyl-4-[(4-pyridyl)methyleneamino]-1,2,4-triazole-3-thione</x:v>
      </x:c>
      <x:c r="C199" s="4" t="str">
        <x:v>杂环化合物（1,2,4-三唑席夫碱）</x:v>
      </x:c>
      <x:c r="D199" s="4" t="str">
        <x:v>化学合成</x:v>
      </x:c>
      <x:c r="E199" s="4" t="str">
        <x:v>以4-氨基-5-丙基-1,2,4-三唑硫酮与4-吡啶甲醛在冰醋酸催化下缩合</x:v>
      </x:c>
      <x:c r="F199" s="4" t="str">
        <x:v>Alternaria iycopersici</x:v>
      </x:c>
      <x:c r="G199" s="4" t="str">
        <x:v>菌丝生长抑制</x:v>
      </x:c>
      <x:c r="H199" s="4" t="str">
        <x:v>33.7% 抑制率（50 μg/mL）</x:v>
      </x:c>
      <x:c r="I199" s="4" t="str">
        <x:v>triadimefon, 52.9% 抑制率（50 μg/mL）</x:v>
      </x:c>
      <x:c r="J199" s="4" t="str"/>
      <x:c r="K199" s="4" t="str"/>
      <x:c r="L199" s="4" t="str"/>
      <x:c r="M199" s="4" t="str"/>
      <x:c r="N199" s="4" t="str"/>
      <x:c r="O199" s="4" t="str">
        <x:v>Jin Ruyi et al., Schiff Base Derivatives, DOI:10.1002/cbdv.201800263</x:v>
      </x:c>
      <x:c r="P199" s="4" t="str"/>
    </x:row>
    <x:row r="200" ht="54" customHeight="1">
      <x:c r="A200" s="4" t="str">
        <x:v>2f</x:v>
      </x:c>
      <x:c r="B200" s="4" t="str">
        <x:v>(E)-5-(4-methylphenyl)-4-[(4-pyridyl)methyleneamino]-1,2,4-triazole-3-thione</x:v>
      </x:c>
      <x:c r="C200" s="4" t="str">
        <x:v>杂环化合物（1,2,4-三唑席夫碱）</x:v>
      </x:c>
      <x:c r="D200" s="4" t="str">
        <x:v>化学合成</x:v>
      </x:c>
      <x:c r="E200" s="4" t="str">
        <x:v>以4-氨基-5-(4-甲基苯基)-1,2,4-三唑硫酮与4-吡啶甲醛在冰醋酸催化下缩合</x:v>
      </x:c>
      <x:c r="F200" s="4" t="str">
        <x:v>Alternaria iycopersici</x:v>
      </x:c>
      <x:c r="G200" s="4" t="str">
        <x:v>菌丝生长抑制</x:v>
      </x:c>
      <x:c r="H200" s="4" t="str">
        <x:v>56.3% 抑制率（50 μg/mL）</x:v>
      </x:c>
      <x:c r="I200" s="4" t="str">
        <x:v>triadimefon, 52.9% 抑制率（50 μg/mL）</x:v>
      </x:c>
      <x:c r="J200" s="4" t="str"/>
      <x:c r="K200" s="4" t="str"/>
      <x:c r="L200" s="4" t="str"/>
      <x:c r="M200" s="4" t="str"/>
      <x:c r="N200" s="4" t="str"/>
      <x:c r="O200" s="4" t="str">
        <x:v>Jin Ruyi et al., Schiff Base Derivatives, DOI:10.1002/cbdv.201800263</x:v>
      </x:c>
      <x:c r="P200" s="4" t="str"/>
    </x:row>
    <x:row r="201" ht="54" customHeight="1">
      <x:c r="A201" s="4" t="str">
        <x:v>2g</x:v>
      </x:c>
      <x:c r="B201" s="4" t="str">
        <x:v>(E)-5-(2-methoxylphenyl)-4-[(4-pyridyl)methyleneamino]-1,2,4-triazole-3-thione</x:v>
      </x:c>
      <x:c r="C201" s="4" t="str">
        <x:v>杂环化合物（1,2,4-三唑席夫碱）</x:v>
      </x:c>
      <x:c r="D201" s="4" t="str">
        <x:v>化学合成</x:v>
      </x:c>
      <x:c r="E201" s="4" t="str">
        <x:v>以4-氨基-5-(2-甲氧基苯基)-1,2,4-三唑硫酮与4-吡啶甲醛在冰醋酸催化下缩合</x:v>
      </x:c>
      <x:c r="F201" s="4" t="str">
        <x:v>Alternaria iycopersici</x:v>
      </x:c>
      <x:c r="G201" s="4" t="str">
        <x:v>菌丝生长抑制</x:v>
      </x:c>
      <x:c r="H201" s="4" t="str">
        <x:v>48.2% 抑制率（50 μg/mL）</x:v>
      </x:c>
      <x:c r="I201" s="4" t="str">
        <x:v>triadimefon, 52.9% 抑制率（50 μg/mL）</x:v>
      </x:c>
      <x:c r="J201" s="4" t="str"/>
      <x:c r="K201" s="4" t="str"/>
      <x:c r="L201" s="4" t="str"/>
      <x:c r="M201" s="4" t="str"/>
      <x:c r="N201" s="4" t="str"/>
      <x:c r="O201" s="4" t="str">
        <x:v>Jin Ruyi et al., Schiff Base Derivatives, DOI:10.1002/cbdv.201800263</x:v>
      </x:c>
      <x:c r="P201" s="4" t="str"/>
    </x:row>
    <x:row r="202" ht="54" customHeight="1">
      <x:c r="A202" s="4" t="str">
        <x:v>3a</x:v>
      </x:c>
      <x:c r="B202" s="4" t="str">
        <x:v>(E)-5H-4-[(3-bromo-6-hydroxy-2-methoxyphenyl)methyleneamino]-1,2,4-triazole-3-thione</x:v>
      </x:c>
      <x:c r="C202" s="4" t="str">
        <x:v>杂环化合物（1,2,4-三唑席夫碱）</x:v>
      </x:c>
      <x:c r="D202" s="4" t="str">
        <x:v>化学合成</x:v>
      </x:c>
      <x:c r="E202" s="4" t="str">
        <x:v>以4-氨基-1,2,4-三唑硫酮与3-溴-6-羟基-2-甲氧基苯甲醛在冰醋酸催化下缩合</x:v>
      </x:c>
      <x:c r="F202" s="4" t="str">
        <x:v>Alternaria iycopersici</x:v>
      </x:c>
      <x:c r="G202" s="4" t="str">
        <x:v>菌丝生长抑制</x:v>
      </x:c>
      <x:c r="H202" s="4" t="str">
        <x:v>29.4% 抑制率（50 μg/mL）</x:v>
      </x:c>
      <x:c r="I202" s="4" t="str">
        <x:v>triadimefon, 52.9% 抑制率（50 μg/mL）</x:v>
      </x:c>
      <x:c r="J202" s="4" t="str"/>
      <x:c r="K202" s="4" t="str"/>
      <x:c r="L202" s="4" t="str"/>
      <x:c r="M202" s="4" t="str"/>
      <x:c r="N202" s="4" t="str"/>
      <x:c r="O202" s="4" t="str">
        <x:v>Jin Ruyi et al., Schiff Base Derivatives, DOI:10.1002/cbdv.201800263</x:v>
      </x:c>
      <x:c r="P202" s="4" t="str"/>
    </x:row>
    <x:row r="203" ht="54" customHeight="1">
      <x:c r="A203" s="4" t="str">
        <x:v>4a</x:v>
      </x:c>
      <x:c r="B203" s="4" t="str">
        <x:v>(E)-5H-4-[(4-(1H-imidazol)phenyl)methyleneamino]-1,2,4-triazole-3-thione</x:v>
      </x:c>
      <x:c r="C203" s="4" t="str">
        <x:v>杂环化合物（1,2,4-三唑席夫碱）</x:v>
      </x:c>
      <x:c r="D203" s="4" t="str">
        <x:v>化学合成</x:v>
      </x:c>
      <x:c r="E203" s="4" t="str">
        <x:v>以4-氨基-1,2,4-三唑硫酮与4-(1H-咪唑基)苯甲醛在冰醋酸催化下缩合</x:v>
      </x:c>
      <x:c r="F203" s="4" t="str">
        <x:v>Alternaria iycopersici</x:v>
      </x:c>
      <x:c r="G203" s="4" t="str">
        <x:v>菌丝生长抑制</x:v>
      </x:c>
      <x:c r="H203" s="4" t="str">
        <x:v>15.7% 抑制率（50 μg/mL）</x:v>
      </x:c>
      <x:c r="I203" s="4" t="str">
        <x:v>triadimefon, 52.9% 抑制率（50 μg/mL）</x:v>
      </x:c>
      <x:c r="J203" s="4" t="str"/>
      <x:c r="K203" s="4" t="str"/>
      <x:c r="L203" s="4" t="str"/>
      <x:c r="M203" s="4" t="str"/>
      <x:c r="N203" s="4" t="str"/>
      <x:c r="O203" s="4" t="str">
        <x:v>Jin Ruyi et al., Schiff Base Derivatives, DOI:10.1002/cbdv.201800263</x:v>
      </x:c>
      <x:c r="P203" s="4" t="str"/>
    </x:row>
    <x:row r="204" ht="54" customHeight="1">
      <x:c r="A204" s="4" t="str">
        <x:v>4b</x:v>
      </x:c>
      <x:c r="B204" s="4" t="str">
        <x:v>(E)-5-ethyl-4-[(4-(1H-imidazol)phenyl)methyleneamino]-1,2,4-triazole-3-thione</x:v>
      </x:c>
      <x:c r="C204" s="4" t="str">
        <x:v>杂环化合物（1,2,4-三唑席夫碱）</x:v>
      </x:c>
      <x:c r="D204" s="4" t="str">
        <x:v>化学合成</x:v>
      </x:c>
      <x:c r="E204" s="4" t="str">
        <x:v>以4-氨基-5-乙基-1,2,4-三唑硫酮与4-(1H-咪唑基)苯甲醛在冰醋酸催化下缩合</x:v>
      </x:c>
      <x:c r="F204" s="4" t="str">
        <x:v>Alternaria iycopersici</x:v>
      </x:c>
      <x:c r="G204" s="4" t="str">
        <x:v>菌丝生长抑制</x:v>
      </x:c>
      <x:c r="H204" s="4" t="str">
        <x:v>23.5% 抑制率（50 μg/mL）</x:v>
      </x:c>
      <x:c r="I204" s="4" t="str">
        <x:v>triadimefon, 52.9% 抑制率（50 μg/mL）</x:v>
      </x:c>
      <x:c r="J204" s="4" t="str"/>
      <x:c r="K204" s="4" t="str"/>
      <x:c r="L204" s="4" t="str"/>
      <x:c r="M204" s="4" t="str"/>
      <x:c r="N204" s="4" t="str"/>
      <x:c r="O204" s="4" t="str">
        <x:v>Jin Ruyi et al., Schiff Base Derivatives, DOI:10.1002/cbdv.201800263</x:v>
      </x:c>
      <x:c r="P204" s="4" t="str"/>
    </x:row>
    <x:row r="205" ht="54" customHeight="1">
      <x:c r="A205" s="4" t="str">
        <x:v>4e</x:v>
      </x:c>
      <x:c r="B205" s="4" t="str">
        <x:v>(E)-5-(4-pridyl)-4-[(4-(1H-imidazol)phenyl)methyleneamino]-1,2,4-triazole-3-thione</x:v>
      </x:c>
      <x:c r="C205" s="4" t="str">
        <x:v>杂环化合物（1,2,4-三唑席夫碱）</x:v>
      </x:c>
      <x:c r="D205" s="4" t="str">
        <x:v>化学合成</x:v>
      </x:c>
      <x:c r="E205" s="4" t="str">
        <x:v>以4-氨基-5-(4-吡啶基)-1,2,4-三唑硫酮与4-(1H-咪唑基)苯甲醛在冰醋酸催化下缩合</x:v>
      </x:c>
      <x:c r="F205" s="4" t="str">
        <x:v>Alternaria iycopersici</x:v>
      </x:c>
      <x:c r="G205" s="4" t="str">
        <x:v>菌丝生长抑制</x:v>
      </x:c>
      <x:c r="H205" s="4" t="str">
        <x:v>11.8% 抑制率（50 μg/mL）</x:v>
      </x:c>
      <x:c r="I205" s="4" t="str">
        <x:v>triadimefon, 52.9% 抑制率（50 μg/mL）</x:v>
      </x:c>
      <x:c r="J205" s="4" t="str"/>
      <x:c r="K205" s="4" t="str"/>
      <x:c r="L205" s="4" t="str"/>
      <x:c r="M205" s="4" t="str"/>
      <x:c r="N205" s="4" t="str"/>
      <x:c r="O205" s="4" t="str">
        <x:v>Jin Ruyi et al., Schiff Base Derivatives, DOI:10.1002/cbdv.201800263</x:v>
      </x:c>
      <x:c r="P205" s="4" t="str"/>
    </x:row>
    <x:row r="206" ht="54" customHeight="1">
      <x:c r="A206" s="4" t="str">
        <x:v>2b</x:v>
      </x:c>
      <x:c r="B206" s="4" t="str">
        <x:v>(E)-5-ethyl-4-[(4-pyridyl)methyleneamino]-1,2,4-triazole-3-thione</x:v>
      </x:c>
      <x:c r="C206" s="4" t="str">
        <x:v>杂环化合物（1,2,4-三唑席夫碱）</x:v>
      </x:c>
      <x:c r="D206" s="4" t="str">
        <x:v>化学合成</x:v>
      </x:c>
      <x:c r="E206" s="4" t="str">
        <x:v>以4-氨基-5-乙基-1,2,4-三唑硫酮与4-吡啶甲醛在冰醋酸催化下缩合</x:v>
      </x:c>
      <x:c r="F206" s="4" t="str">
        <x:v>Phytophthora capsici</x:v>
      </x:c>
      <x:c r="G206" s="4" t="str">
        <x:v>菌丝生长抑制</x:v>
      </x:c>
      <x:c r="H206" s="4" t="str">
        <x:v>46.1% 抑制率（50 μg/mL）</x:v>
      </x:c>
      <x:c r="I206" s="4" t="str">
        <x:v>triadimefon, 41.9% 抑制率（50 μg/mL）</x:v>
      </x:c>
      <x:c r="J206" s="4" t="str"/>
      <x:c r="K206" s="4" t="str"/>
      <x:c r="L206" s="4" t="str"/>
      <x:c r="M206" s="4" t="str"/>
      <x:c r="N206" s="4" t="str"/>
      <x:c r="O206" s="4" t="str">
        <x:v>Jin Ruyi et al., Schiff Base Derivatives, DOI:10.1002/cbdv.201800263</x:v>
      </x:c>
      <x:c r="P206" s="4" t="str"/>
    </x:row>
    <x:row r="207" ht="54" customHeight="1">
      <x:c r="A207" s="4" t="str">
        <x:v>2c</x:v>
      </x:c>
      <x:c r="B207" s="4" t="str">
        <x:v>(E)-5-propyl-4-[(4-pyridyl)methyleneamino]-1,2,4-triazole-3-thione</x:v>
      </x:c>
      <x:c r="C207" s="4" t="str">
        <x:v>杂环化合物（1,2,4-三唑席夫碱）</x:v>
      </x:c>
      <x:c r="D207" s="4" t="str">
        <x:v>化学合成</x:v>
      </x:c>
      <x:c r="E207" s="4" t="str">
        <x:v>以4-氨基-5-丙基-1,2,4-三唑硫酮与4-吡啶甲醛在冰醋酸催化下缩合</x:v>
      </x:c>
      <x:c r="F207" s="4" t="str">
        <x:v>Phytophthora capsici</x:v>
      </x:c>
      <x:c r="G207" s="4" t="str">
        <x:v>菌丝生长抑制</x:v>
      </x:c>
      <x:c r="H207" s="4" t="str">
        <x:v>38.2% 抑制率（50 μg/mL）</x:v>
      </x:c>
      <x:c r="I207" s="4" t="str">
        <x:v>triadimefon, 41.9% 抑制率（50 μg/mL）</x:v>
      </x:c>
      <x:c r="J207" s="4" t="str"/>
      <x:c r="K207" s="4" t="str"/>
      <x:c r="L207" s="4" t="str"/>
      <x:c r="M207" s="4" t="str"/>
      <x:c r="N207" s="4" t="str"/>
      <x:c r="O207" s="4" t="str">
        <x:v>Jin Ruyi et al., Schiff Base Derivatives, DOI:10.1002/cbdv.201800263</x:v>
      </x:c>
      <x:c r="P207" s="4" t="str"/>
    </x:row>
    <x:row r="208" ht="54" customHeight="1">
      <x:c r="A208" s="4" t="str">
        <x:v>2f</x:v>
      </x:c>
      <x:c r="B208" s="4" t="str">
        <x:v>(E)-5-(4-methylphenyl)-4-[(4-pyridyl)methyleneamino]-1,2,4-triazole-3-thione</x:v>
      </x:c>
      <x:c r="C208" s="4" t="str">
        <x:v>杂环化合物（1,2,4-三唑席夫碱）</x:v>
      </x:c>
      <x:c r="D208" s="4" t="str">
        <x:v>化学合成</x:v>
      </x:c>
      <x:c r="E208" s="4" t="str">
        <x:v>以4-氨基-5-(4-甲基苯基)-1,2,4-三唑硫酮与4-吡啶甲醛在冰醋酸催化下缩合</x:v>
      </x:c>
      <x:c r="F208" s="4" t="str">
        <x:v>Phytophthora capsici</x:v>
      </x:c>
      <x:c r="G208" s="4" t="str">
        <x:v>菌丝生长抑制</x:v>
      </x:c>
      <x:c r="H208" s="4" t="str">
        <x:v>48.2% 抑制率（50 μg/mL）</x:v>
      </x:c>
      <x:c r="I208" s="4" t="str">
        <x:v>triadimefon, 41.9% 抑制率（50 μg/mL）</x:v>
      </x:c>
      <x:c r="J208" s="4" t="str"/>
      <x:c r="K208" s="4" t="str"/>
      <x:c r="L208" s="4" t="str"/>
      <x:c r="M208" s="4" t="str"/>
      <x:c r="N208" s="4" t="str"/>
      <x:c r="O208" s="4" t="str">
        <x:v>Jin Ruyi et al., Schiff Base Derivatives, DOI:10.1002/cbdv.201800263</x:v>
      </x:c>
      <x:c r="P208" s="4" t="str"/>
    </x:row>
    <x:row r="209" ht="54" customHeight="1">
      <x:c r="A209" s="4" t="str">
        <x:v>2g</x:v>
      </x:c>
      <x:c r="B209" s="4" t="str">
        <x:v>(E)-5-(2-methoxylphenyl)-4-[(4-pyridyl)methyleneamino]-1,2,4-triazole-3-thione</x:v>
      </x:c>
      <x:c r="C209" s="4" t="str">
        <x:v>杂环化合物（1,2,4-三唑席夫碱）</x:v>
      </x:c>
      <x:c r="D209" s="4" t="str">
        <x:v>化学合成</x:v>
      </x:c>
      <x:c r="E209" s="4" t="str">
        <x:v>以4-氨基-5-(2-甲氧基苯基)-1,2,4-三唑硫酮与4-吡啶甲醛在冰醋酸催化下缩合</x:v>
      </x:c>
      <x:c r="F209" s="4" t="str">
        <x:v>Phytophthora capsici</x:v>
      </x:c>
      <x:c r="G209" s="4" t="str">
        <x:v>菌丝生长抑制</x:v>
      </x:c>
      <x:c r="H209" s="4" t="str">
        <x:v>46.3% 抑制率（50 μg/mL）</x:v>
      </x:c>
      <x:c r="I209" s="4" t="str">
        <x:v>triadimefon, 41.9% 抑制率（50 μg/mL）</x:v>
      </x:c>
      <x:c r="J209" s="4" t="str"/>
      <x:c r="K209" s="4" t="str"/>
      <x:c r="L209" s="4" t="str"/>
      <x:c r="M209" s="4" t="str"/>
      <x:c r="N209" s="4" t="str"/>
      <x:c r="O209" s="4" t="str">
        <x:v>Jin Ruyi et al., Schiff Base Derivatives, DOI:10.1002/cbdv.201800263</x:v>
      </x:c>
      <x:c r="P209" s="4" t="str"/>
    </x:row>
    <x:row r="210" ht="54" customHeight="1">
      <x:c r="A210" s="4" t="str">
        <x:v>3a</x:v>
      </x:c>
      <x:c r="B210" s="4" t="str">
        <x:v>(E)-5H-4-[(3-bromo-6-hydroxy-2-methoxyphenyl)methyleneamino]-1,2,4-triazole-3-thione</x:v>
      </x:c>
      <x:c r="C210" s="4" t="str">
        <x:v>杂环化合物（1,2,4-三唑席夫碱）</x:v>
      </x:c>
      <x:c r="D210" s="4" t="str">
        <x:v>化学合成</x:v>
      </x:c>
      <x:c r="E210" s="4" t="str">
        <x:v>以4-氨基-1,2,4-三唑硫酮与3-溴-6-羟基-2-甲氧基苯甲醛在冰醋酸催化下缩合</x:v>
      </x:c>
      <x:c r="F210" s="4" t="str">
        <x:v>Phytophthora capsici</x:v>
      </x:c>
      <x:c r="G210" s="4" t="str">
        <x:v>菌丝生长抑制</x:v>
      </x:c>
      <x:c r="H210" s="4" t="str">
        <x:v>38.7% 抑制率（50 μg/mL）</x:v>
      </x:c>
      <x:c r="I210" s="4" t="str">
        <x:v>triadimefon, 41.9% 抑制率（50 μg/mL）</x:v>
      </x:c>
      <x:c r="J210" s="4" t="str"/>
      <x:c r="K210" s="4" t="str"/>
      <x:c r="L210" s="4" t="str"/>
      <x:c r="M210" s="4" t="str"/>
      <x:c r="N210" s="4" t="str"/>
      <x:c r="O210" s="4" t="str">
        <x:v>Jin Ruyi et al., Schiff Base Derivatives, DOI:10.1002/cbdv.201800263</x:v>
      </x:c>
      <x:c r="P210" s="4" t="str"/>
    </x:row>
    <x:row r="211" ht="54" customHeight="1">
      <x:c r="A211" s="4" t="str">
        <x:v>4a</x:v>
      </x:c>
      <x:c r="B211" s="4" t="str">
        <x:v>(E)-5H-4-[(4-(1H-imidazol)phenyl)methyleneamino]-1,2,4-triazole-3-thione</x:v>
      </x:c>
      <x:c r="C211" s="4" t="str">
        <x:v>杂环化合物（1,2,4-三唑席夫碱）</x:v>
      </x:c>
      <x:c r="D211" s="4" t="str">
        <x:v>化学合成</x:v>
      </x:c>
      <x:c r="E211" s="4" t="str">
        <x:v>以4-氨基-1,2,4-三唑硫酮与4-(1H-咪唑基)苯甲醛在冰醋酸催化下缩合</x:v>
      </x:c>
      <x:c r="F211" s="4" t="str">
        <x:v>Phytophthora capsici</x:v>
      </x:c>
      <x:c r="G211" s="4" t="str">
        <x:v>菌丝生长抑制</x:v>
      </x:c>
      <x:c r="H211" s="4" t="str">
        <x:v>36.7% 抑制率（50 μg/mL）</x:v>
      </x:c>
      <x:c r="I211" s="4" t="str">
        <x:v>triadimefon, 41.9% 抑制率（50 μg/mL）</x:v>
      </x:c>
      <x:c r="J211" s="4" t="str"/>
      <x:c r="K211" s="4" t="str"/>
      <x:c r="L211" s="4" t="str"/>
      <x:c r="M211" s="4" t="str"/>
      <x:c r="N211" s="4" t="str"/>
      <x:c r="O211" s="4" t="str">
        <x:v>Jin Ruyi et al., Schiff Base Derivatives, DOI:10.1002/cbdv.201800263</x:v>
      </x:c>
      <x:c r="P211" s="4" t="str"/>
    </x:row>
    <x:row r="212" ht="54" customHeight="1">
      <x:c r="A212" s="4" t="str">
        <x:v>4b</x:v>
      </x:c>
      <x:c r="B212" s="4" t="str">
        <x:v>(E)-5-ethyl-4-[(4-(1H-imidazol)phenyl)methyleneamino]-1,2,4-triazole-3-thione</x:v>
      </x:c>
      <x:c r="C212" s="4" t="str">
        <x:v>杂环化合物（1,2,4-三唑席夫碱）</x:v>
      </x:c>
      <x:c r="D212" s="4" t="str">
        <x:v>化学合成</x:v>
      </x:c>
      <x:c r="E212" s="4" t="str">
        <x:v>以4-氨基-5-乙基-1,2,4-三唑硫酮与4-(1H-咪唑基)苯甲醛在冰醋酸催化下缩合</x:v>
      </x:c>
      <x:c r="F212" s="4" t="str">
        <x:v>Phytophthora capsici</x:v>
      </x:c>
      <x:c r="G212" s="4" t="str">
        <x:v>菌丝生长抑制</x:v>
      </x:c>
      <x:c r="H212" s="4" t="str">
        <x:v>41.9% 抑制率（50 μg/mL）</x:v>
      </x:c>
      <x:c r="I212" s="4" t="str">
        <x:v>triadimefon, 41.9% 抑制率（50 μg/mL）</x:v>
      </x:c>
      <x:c r="J212" s="4" t="str"/>
      <x:c r="K212" s="4" t="str"/>
      <x:c r="L212" s="4" t="str"/>
      <x:c r="M212" s="4" t="str"/>
      <x:c r="N212" s="4" t="str"/>
      <x:c r="O212" s="4" t="str">
        <x:v>Jin Ruyi et al., Schiff Base Derivatives, DOI:10.1002/cbdv.201800263</x:v>
      </x:c>
      <x:c r="P212" s="4" t="str"/>
    </x:row>
    <x:row r="213" ht="54" customHeight="1">
      <x:c r="A213" s="4" t="str">
        <x:v>4e</x:v>
      </x:c>
      <x:c r="B213" s="4" t="str">
        <x:v>(E)-5-(4-pridyl)-4-[(4-(1H-imidazol)phenyl)methyleneamino]-1,2,4-triazole-3-thione</x:v>
      </x:c>
      <x:c r="C213" s="4" t="str">
        <x:v>杂环化合物（1,2,4-三唑席夫碱）</x:v>
      </x:c>
      <x:c r="D213" s="4" t="str">
        <x:v>化学合成</x:v>
      </x:c>
      <x:c r="E213" s="4" t="str">
        <x:v>以4-氨基-5-(4-吡啶基)-1,2,4-三唑硫酮与4-(1H-咪唑基)苯甲醛在冰醋酸催化下缩合</x:v>
      </x:c>
      <x:c r="F213" s="4" t="str">
        <x:v>Phytophthora capsici</x:v>
      </x:c>
      <x:c r="G213" s="4" t="str">
        <x:v>菌丝生长抑制</x:v>
      </x:c>
      <x:c r="H213" s="4" t="str">
        <x:v>29.0% 抑制率（50 μg/mL）</x:v>
      </x:c>
      <x:c r="I213" s="4" t="str">
        <x:v>triadimefon, 41.9% 抑制率（50 μg/mL）</x:v>
      </x:c>
      <x:c r="J213" s="4" t="str"/>
      <x:c r="K213" s="4" t="str"/>
      <x:c r="L213" s="4" t="str"/>
      <x:c r="M213" s="4" t="str"/>
      <x:c r="N213" s="4" t="str"/>
      <x:c r="O213" s="4" t="str">
        <x:v>Jin Ruyi et al., Schiff Base Derivatives, DOI:10.1002/cbdv.201800263</x:v>
      </x:c>
      <x:c r="P213" s="4" t="str"/>
    </x:row>
    <x:row r="214" ht="54" customHeight="1">
      <x:c r="A214" s="4" t="str">
        <x:v>Phytophthora palmivora</x:v>
      </x:c>
      <x:c r="B214" s="4" t="str">
        <x:v>Phytophthora palmivora</x:v>
      </x:c>
      <x:c r="C214" s="4" t="str">
        <x:v>—</x:v>
      </x:c>
      <x:c r="D214" s="4" t="str">
        <x:v>微生物</x:v>
      </x:c>
      <x:c r="E214" s="4" t="str">
        <x:v>菌株MMBF 13/79，来自巴西圣保罗生物研究所</x:v>
      </x:c>
      <x:c r="F214" s="4" t="str">
        <x:v>Colletotrichum horii</x:v>
      </x:c>
      <x:c r="G214" s="4" t="str">
        <x:v>菌丝生长抑制（琼脂稀释法）</x:v>
      </x:c>
      <x:c r="H214" s="4" t="str">
        <x:v>F5P: 38.5 ± 0.4%&lt;br&gt;F5C: 40.0 ± 1.3%&lt;br&gt;F5A: 34.0 ± 1.1%&lt;br&gt;F5I: 47.1 ± 2.8%</x:v>
      </x:c>
      <x:c r="I214" s="4" t="str">
        <x:v>—</x:v>
      </x:c>
      <x:c r="J214" s="4" t="str">
        <x:v>—</x:v>
      </x:c>
      <x:c r="K214" s="4" t="str">
        <x:v>—</x:v>
      </x:c>
      <x:c r="L214" s="4" t="str">
        <x:v>—</x:v>
      </x:c>
      <x:c r="M214" s="4" t="str">
        <x:v>—</x:v>
      </x:c>
      <x:c r="N214" s="4" t="str">
        <x:v>—</x:v>
      </x:c>
      <x:c r="O214" s="4" t="str">
        <x:v>Vitor De Souza Mazucato et al., Co-cultivation and Medium Optimization: A Strategy for Discovering Fungal-derived Protease Inhibitors, 10.1002/cbdv.202501135</x:v>
      </x:c>
      <x:c r="P214" s="4" t="str"/>
    </x:row>
    <x:row r="215" ht="54" customHeight="1">
      <x:c r="A215" s="4" t="str">
        <x:v>TaEILb.2</x:v>
      </x:c>
      <x:c r="B215" s="4" t="str">
        <x:v>Ethylene-insensitive3-like protein b.2</x:v>
      </x:c>
      <x:c r="C215" s="4" t="str">
        <x:v>蛋白质（转录因子）</x:v>
      </x:c>
      <x:c r="D215" s="4" t="str">
        <x:v>植物天然产物</x:v>
      </x:c>
      <x:c r="E215" s="4" t="str">
        <x:v>小麦（Triticum aestivum），编码基因TaEILb.2</x:v>
      </x:c>
      <x:c r="F215" s="4" t="str">
        <x:v>Phytophthora infestans</x:v>
      </x:c>
      <x:c r="G215" s="4" t="str">
        <x:v>瞬时表达+离体叶片接种</x:v>
      </x:c>
      <x:c r="H215" s="4" t="str">
        <x:v>显著减小病斑直径（P &lt; 0.05）</x:v>
      </x:c>
      <x:c r="I215" s="4" t="str">
        <x:v>free GFP（空载体对照）</x:v>
      </x:c>
      <x:c r="J215" s="4" t="str">
        <x:v>抑制Phytophthora infestans感染</x:v>
      </x:c>
      <x:c r="K215" s="4" t="str">
        <x:v>瞬时过表达+病原接种</x:v>
      </x:c>
      <x:c r="L215" s="4" t="str"/>
      <x:c r="M215" s="4" t="str"/>
      <x:c r="N215" s="4" t="str"/>
      <x:c r="O215" s="4" t="str">
        <x:v>He Yi-Qin et al., accepted, DOI: 10.1002/csc2.20115</x:v>
      </x:c>
      <x:c r="P215" s="4" t="str"/>
    </x:row>
    <x:row r="216" ht="54" customHeight="1">
      <x:c r="A216" s="4" t="str">
        <x:v>famoxadone</x:v>
      </x:c>
      <x:c r="B216" s="4" t="str">
        <x:v>famoxadone</x:v>
      </x:c>
      <x:c r="C216" s="4" t="str">
        <x:v>杂环化合物（噁唑烷二酮类）</x:v>
      </x:c>
      <x:c r="D216" s="4" t="str">
        <x:v>化学合成</x:v>
      </x:c>
      <x:c r="E216" s="4" t="str">
        <x:v>以2-(4-苯氧基苯基)乳酸乙酯为原料，经CDI和苯肼一锅法合成</x:v>
      </x:c>
      <x:c r="F216" s="4" t="str">
        <x:v>Phytophthora infestans</x:v>
      </x:c>
      <x:c r="G216" s="4" t="str">
        <x:v>温室预防试验（离体叶片接种）</x:v>
      </x:c>
      <x:c r="H216" s="4" t="str">
        <x:v>100% preventive control at 200 mg/L</x:v>
      </x:c>
      <x:c r="I216" s="4" t="str">
        <x:v>未提及</x:v>
      </x:c>
      <x:c r="J216" s="4" t="str">
        <x:v>抑制线粒体电子传递链复合物III（泛醌:细胞色素c氧化还原酶）</x:v>
      </x:c>
      <x:c r="K216" s="4" t="str">
        <x:v>线粒体酶抑制测定（submitochondrial particles）</x:v>
      </x:c>
      <x:c r="L216" s="4" t="str">
        <x:v>未提及</x:v>
      </x:c>
      <x:c r="M216" s="4" t="str">
        <x:v>未提及</x:v>
      </x:c>
      <x:c r="N216" s="4" t="str">
        <x:v>未提及</x:v>
      </x:c>
      <x:c r="O216" s="4" t="str">
        <x:v>Sternberg et al., 2000, Famoxadone: the discovery and optimisation of a new agricultural fungicide †, DOI not available</x:v>
      </x:c>
      <x:c r="P216" s="4" t="str">
        <x:v>未提及</x:v>
      </x:c>
    </x:row>
    <x:row r="217" ht="54" customHeight="1">
      <x:c r="A217" s="4" t="str">
        <x:v>famoxadone</x:v>
      </x:c>
      <x:c r="B217" s="4" t="str">
        <x:v>famoxadone</x:v>
      </x:c>
      <x:c r="C217" s="4" t="str">
        <x:v>杂环化合物（噁唑烷二酮类）</x:v>
      </x:c>
      <x:c r="D217" s="4" t="str">
        <x:v>化学合成</x:v>
      </x:c>
      <x:c r="E217" s="4" t="str">
        <x:v>以2-(4-苯氧基苯基)乳酸乙酯为原料，经CDI和苯肼一锅法合成</x:v>
      </x:c>
      <x:c r="F217" s="4" t="str">
        <x:v>Plasmopara viticola</x:v>
      </x:c>
      <x:c r="G217" s="4" t="str">
        <x:v>温室预防试验（离体叶片接种）</x:v>
      </x:c>
      <x:c r="H217" s="4" t="str">
        <x:v>97% preventive control at 10 mg/L</x:v>
      </x:c>
      <x:c r="I217" s="4" t="str">
        <x:v>未提及</x:v>
      </x:c>
      <x:c r="J217" s="4" t="str">
        <x:v>抑制线粒体电子传递链复合物III（泛醌:细胞色素c氧化还原酶）</x:v>
      </x:c>
      <x:c r="K217" s="4" t="str">
        <x:v>线粒体酶抑制测定（submitochondrial particles）</x:v>
      </x:c>
      <x:c r="L217" s="4" t="str">
        <x:v>未提及</x:v>
      </x:c>
      <x:c r="M217" s="4" t="str">
        <x:v>未提及</x:v>
      </x:c>
      <x:c r="N217" s="4" t="str">
        <x:v>未提及</x:v>
      </x:c>
      <x:c r="O217" s="4" t="str">
        <x:v>Sternberg et al., 2000, Famoxadone: the discovery and optimisation of a new agricultural fungicide †, DOI not available</x:v>
      </x:c>
      <x:c r="P217" s="4" t="str">
        <x:v>未提及</x:v>
      </x:c>
    </x:row>
    <x:row r="218" ht="54" customHeight="1">
      <x:c r="A218" s="4" t="str">
        <x:v>(S)-famoxadone</x:v>
      </x:c>
      <x:c r="B218" s="4" t="str">
        <x:v>(S)-famoxadone</x:v>
      </x:c>
      <x:c r="C218" s="4" t="str">
        <x:v>杂环化合物（噁唑烷二酮类）</x:v>
      </x:c>
      <x:c r="D218" s="4" t="str">
        <x:v>化学合成</x:v>
      </x:c>
      <x:c r="E218" s="4" t="str">
        <x:v>通过奎宁定对2-(4-苯氧基苯基)乳酸进行手性拆分后合成</x:v>
      </x:c>
      <x:c r="F218" s="4" t="str">
        <x:v>Phytophthora infestans</x:v>
      </x:c>
      <x:c r="G218" s="4" t="str">
        <x:v>温室预防试验（离体叶片接种）</x:v>
      </x:c>
      <x:c r="H218" s="4" t="str">
        <x:v>比外消旋体活性高约2倍（见Table 7）</x:v>
      </x:c>
      <x:c r="I218" s="4" t="str">
        <x:v>未提及</x:v>
      </x:c>
      <x:c r="J218" s="4" t="str">
        <x:v>抑制线粒体电子传递链复合物III</x:v>
      </x:c>
      <x:c r="K218" s="4" t="str">
        <x:v>线粒体酶抑制测定（submitochondrial particles from Ph infestans）</x:v>
      </x:c>
      <x:c r="L218" s="4" t="str">
        <x:v>未提及</x:v>
      </x:c>
      <x:c r="M218" s="4" t="str">
        <x:v>未提及</x:v>
      </x:c>
      <x:c r="N218" s="4" t="str">
        <x:v>未提及</x:v>
      </x:c>
      <x:c r="O218" s="4" t="str">
        <x:v>Sternberg et al., 2000, Famoxadone: the discovery and optimisation of a new agricultural fungicide †, DOI not available</x:v>
      </x:c>
      <x:c r="P218" s="4" t="str">
        <x:v>未提及</x:v>
      </x:c>
    </x:row>
    <x:row r="219" ht="54" customHeight="1">
      <x:c r="A219" s="4" t="str">
        <x:v>(S)-famoxadone</x:v>
      </x:c>
      <x:c r="B219" s="4" t="str">
        <x:v>(S)-famoxadone</x:v>
      </x:c>
      <x:c r="C219" s="4" t="str">
        <x:v>杂环化合物（噁唑烷二酮类）</x:v>
      </x:c>
      <x:c r="D219" s="4" t="str">
        <x:v>化学合成</x:v>
      </x:c>
      <x:c r="E219" s="4" t="str">
        <x:v>通过奎宁定对2-(4-苯氧基苯基)乳酸进行手性拆分后合成</x:v>
      </x:c>
      <x:c r="F219" s="4" t="str">
        <x:v>Plasmopara viticola</x:v>
      </x:c>
      <x:c r="G219" s="4" t="str">
        <x:v>温室预防试验（离体叶片接种）</x:v>
      </x:c>
      <x:c r="H219" s="4" t="str">
        <x:v>比外消旋体活性高约2倍（见Table 7）</x:v>
      </x:c>
      <x:c r="I219" s="4" t="str">
        <x:v>未提及</x:v>
      </x:c>
      <x:c r="J219" s="4" t="str">
        <x:v>抑制线粒体电子传递链复合物III</x:v>
      </x:c>
      <x:c r="K219" s="4" t="str">
        <x:v>线粒体酶抑制测定（submitochondrial particles from rat heart）</x:v>
      </x:c>
      <x:c r="L219" s="4" t="str">
        <x:v>未提及</x:v>
      </x:c>
      <x:c r="M219" s="4" t="str">
        <x:v>未提及</x:v>
      </x:c>
      <x:c r="N219" s="4" t="str">
        <x:v>未提及</x:v>
      </x:c>
      <x:c r="O219" s="4" t="str">
        <x:v>Sternberg et al., 2000, Famoxadone: the discovery and optimisation of a new agricultural fungicide †, DOI not available</x:v>
      </x:c>
      <x:c r="P219" s="4" t="str">
        <x:v>未提及</x:v>
      </x:c>
    </x:row>
    <x:row r="220" ht="54" customHeight="1">
      <x:c r="A220" s="4" t="str">
        <x:v>compound 1</x:v>
      </x:c>
      <x:c r="B220" s="4" t="str">
        <x:v>5-methyl-5-phenyl-3-phenylamino-2-thioxo-4-oxazolidinone</x:v>
      </x:c>
      <x:c r="C220" s="4" t="str">
        <x:v>杂环化合物（硫代噁唑烷二酮类）</x:v>
      </x:c>
      <x:c r="D220" s="4" t="str">
        <x:v>化学合成</x:v>
      </x:c>
      <x:c r="E220" s="4" t="str">
        <x:v>由Detlef Geffken实验室提供初始结构，DuPont优化</x:v>
      </x:c>
      <x:c r="F220" s="4" t="str">
        <x:v>Phytophthora infestans</x:v>
      </x:c>
      <x:c r="G220" s="4" t="str">
        <x:v>温室预防试验（离体叶片接种）</x:v>
      </x:c>
      <x:c r="H220" s="4" t="str">
        <x:v>100% preventive control at 200 mg/L</x:v>
      </x:c>
      <x:c r="I220" s="4" t="str">
        <x:v>未提及</x:v>
      </x:c>
      <x:c r="J220" s="4" t="str">
        <x:v>抑制线粒体电子传递链复合物III</x:v>
      </x:c>
      <x:c r="K220" s="4" t="str">
        <x:v>温室生物测定与线粒体酶抑制测定</x:v>
      </x:c>
      <x:c r="L220" s="4" t="str">
        <x:v>未提及</x:v>
      </x:c>
      <x:c r="M220" s="4" t="str">
        <x:v>未提及</x:v>
      </x:c>
      <x:c r="N220" s="4" t="str">
        <x:v>未提及</x:v>
      </x:c>
      <x:c r="O220" s="4" t="str">
        <x:v>Sternberg et al., 2000, Famoxadone: the discovery and optimisation of a new agricultural fungicide †, DOI not available</x:v>
      </x:c>
      <x:c r="P220" s="4" t="str">
        <x:v>未提及</x:v>
      </x:c>
    </x:row>
    <x:row r="221" ht="54" customHeight="1">
      <x:c r="A221" s="4" t="str">
        <x:v>compound 1</x:v>
      </x:c>
      <x:c r="B221" s="4" t="str">
        <x:v>5-methyl-5-phenyl-3-phenylamino-2-thioxo-4-oxazolidinone</x:v>
      </x:c>
      <x:c r="C221" s="4" t="str">
        <x:v>杂环化合物（硫代噁唑烷二酮类）</x:v>
      </x:c>
      <x:c r="D221" s="4" t="str">
        <x:v>化学合成</x:v>
      </x:c>
      <x:c r="E221" s="4" t="str">
        <x:v>由Detlef Geffken实验室提供初始结构，DuPont优化</x:v>
      </x:c>
      <x:c r="F221" s="4" t="str">
        <x:v>Plasmopara viticola</x:v>
      </x:c>
      <x:c r="G221" s="4" t="str">
        <x:v>温室预防试验（离体叶片接种）</x:v>
      </x:c>
      <x:c r="H221" s="4" t="str">
        <x:v>97% preventive control at 10 mg/L</x:v>
      </x:c>
      <x:c r="I221" s="4" t="str">
        <x:v>未提及</x:v>
      </x:c>
      <x:c r="J221" s="4" t="str">
        <x:v>抑制线粒体电子传递链复合物III</x:v>
      </x:c>
      <x:c r="K221" s="4" t="str">
        <x:v>温室生物测定与线粒体酶抑制测定</x:v>
      </x:c>
      <x:c r="L221" s="4" t="str">
        <x:v>未提及</x:v>
      </x:c>
      <x:c r="M221" s="4" t="str">
        <x:v>未提及</x:v>
      </x:c>
      <x:c r="N221" s="4" t="str">
        <x:v>未提及</x:v>
      </x:c>
      <x:c r="O221" s="4" t="str">
        <x:v>Sternberg et al., 2000, Famoxadone: the discovery and optimisation of a new agricultural fungicide †, DOI not available</x:v>
      </x:c>
      <x:c r="P221" s="4" t="str">
        <x:v>未提及</x:v>
      </x:c>
    </x:row>
    <x:row r="222" ht="54" customHeight="1">
      <x:c r="A222" s="4" t="str">
        <x:v>(3R,4R,6R,7S)-7-hydroxyl-3,7-dimethyl-oxabicyclo[3.3.1]nonan-2-one</x:v>
      </x:c>
      <x:c r="B222" s="4" t="str">
        <x:v>(3R,4R,6R,7S)-7-hydroxy-3,7-dimethyloxabicyclo[3.3.1]nonan-2-one</x:v>
      </x:c>
      <x:c r="C222" s="4" t="str">
        <x:v>萜类（单萜）</x:v>
      </x:c>
      <x:c r="D222" s="4" t="str">
        <x:v>微生物</x:v>
      </x:c>
      <x:c r="E222" s="4" t="str">
        <x:v>Pestalotiopsis foedan（分离自Bruguiera sexangula枝条，海南，中国）</x:v>
      </x:c>
      <x:c r="F222" s="4" t="str">
        <x:v>Phytophthora nicotianae</x:v>
      </x:c>
      <x:c r="G222" s="4" t="str">
        <x:v>最小抑菌浓度（MIC）测定</x:v>
      </x:c>
      <x:c r="H222" s="4" t="str">
        <x:v>MIC = 3.1 μg/mL</x:v>
      </x:c>
      <x:c r="I222" s="4" t="str">
        <x:v>ketoconazole</x:v>
      </x:c>
      <x:c r="J222" s="4" t="str"/>
      <x:c r="K222" s="4" t="str"/>
      <x:c r="L222" s="4" t="str"/>
      <x:c r="M222" s="4" t="str"/>
      <x:c r="N222" s="4" t="str"/>
      <x:c r="O222" s="4" t="str">
        <x:v>Dan Xu, Bing-Yang Zhang, Xiao-Long Yang, Antifungal monoterpene derivatives from the plant endophytic fungus Pestalotiopsis foedan, 10.1002/cbdv.201600114</x:v>
      </x:c>
      <x:c r="P222" s="4" t="str"/>
    </x:row>
    <x:row r="223" ht="54" customHeight="1">
      <x:c r="A223" s="4" t="str">
        <x:v>(3R,4R)-3-(7-methylcyclohexenyl)-propanoic acid</x:v>
      </x:c>
      <x:c r="B223" s="4" t="str">
        <x:v>(3R,4R)-3-(7-methylcyclohexenyl)propanoic acid</x:v>
      </x:c>
      <x:c r="C223" s="4" t="str">
        <x:v>萜类（单萜）</x:v>
      </x:c>
      <x:c r="D223" s="4" t="str">
        <x:v>微生物</x:v>
      </x:c>
      <x:c r="E223" s="4" t="str">
        <x:v>Pestalotiopsis foedan（分离自Bruguiera sexangula枝条，海南，中国）</x:v>
      </x:c>
      <x:c r="F223" s="4" t="str">
        <x:v>Phytophthora nicotianae</x:v>
      </x:c>
      <x:c r="G223" s="4" t="str">
        <x:v>最小抑菌浓度（MIC）测定</x:v>
      </x:c>
      <x:c r="H223" s="4" t="str">
        <x:v>MIC = 6.3 μg/mL</x:v>
      </x:c>
      <x:c r="I223" s="4" t="str">
        <x:v>ketoconazole</x:v>
      </x:c>
      <x:c r="J223" s="4" t="str"/>
      <x:c r="K223" s="4" t="str"/>
      <x:c r="L223" s="4" t="str"/>
      <x:c r="M223" s="4" t="str"/>
      <x:c r="N223" s="4" t="str"/>
      <x:c r="O223" s="4" t="str">
        <x:v>Dan Xu, Bing-Yang Zhang, Xiao-Long Yang, Antifungal monoterpene derivatives from the plant endophytic fungus Pestalotiopsis foedan, 10.1002/cbdv.201600114</x:v>
      </x:c>
      <x:c r="P223" s="4" t="str"/>
    </x:row>
    <x:row r="224" ht="54" customHeight="1">
      <x:c r="A224" s="4" t="str">
        <x:v>glucoiberin degradation products</x:v>
      </x:c>
      <x:c r="B224" s="4" t="str">
        <x:v>3-methylthiopropyl isothiocyanate</x:v>
      </x:c>
      <x:c r="C224" s="4" t="str">
        <x:v>硫代葡萄糖苷降解产物（异硫氰酸酯）</x:v>
      </x:c>
      <x:c r="D224" s="4" t="str">
        <x:v>植物天然产物</x:v>
      </x:c>
      <x:c r="E224" s="4" t="str">
        <x:v>芸薹科植物来源的硫代葡萄糖苷经芥子酶水解所得</x:v>
      </x:c>
      <x:c r="F224" s="4" t="str">
        <x:v>Pythium irregulare</x:v>
      </x:c>
      <x:c r="G224" s="4" t="str">
        <x:v>土壤接种抑制（oospore germination and soil infestation）</x:v>
      </x:c>
      <x:c r="H224" s="4" t="str">
        <x:v>0.1 mmol/g土壤：EI% ≈ 100；0.01 mmol/g：显著抑制；0.001 mmol/g：仍显著抑制</x:v>
      </x:c>
      <x:c r="I224" s="4" t="str">
        <x:v>MES buffer control</x:v>
      </x:c>
      <x:c r="J224" s="4" t="str">
        <x:v>未明确</x:v>
      </x:c>
      <x:c r="K224" s="4" t="str">
        <x:v>未进行</x:v>
      </x:c>
      <x:c r="L224" s="4" t="str">
        <x:v>未测试</x:v>
      </x:c>
      <x:c r="M224" s="4" t="str">
        <x:v>未报道</x:v>
      </x:c>
      <x:c r="N224" s="4" t="str">
        <x:v>未测试</x:v>
      </x:c>
      <x:c r="O224" s="4" t="str">
        <x:v>Manici et al., 2000, Suppressive activity of some glucosinolate enzyme degradation products on Pythium irregulare and Rhizoctonia solani in sterile soil</x:v>
      </x:c>
      <x:c r="P224" s="4" t="str"/>
    </x:row>
    <x:row r="225" ht="54" customHeight="1">
      <x:c r="A225" s="4" t="str">
        <x:v>glucoerucin degradation products</x:v>
      </x:c>
      <x:c r="B225" s="4" t="str">
        <x:v>4-methylthiobutyl isothiocyanate</x:v>
      </x:c>
      <x:c r="C225" s="4" t="str">
        <x:v>硫代葡萄糖苷降解产物（异硫氰酸酯）</x:v>
      </x:c>
      <x:c r="D225" s="4" t="str">
        <x:v>植物天然产物</x:v>
      </x:c>
      <x:c r="E225" s="4" t="str">
        <x:v>芸薹科植物来源的硫代葡萄糖苷经芥子酶水解所得</x:v>
      </x:c>
      <x:c r="F225" s="4" t="str">
        <x:v>Pythium irregulare</x:v>
      </x:c>
      <x:c r="G225" s="4" t="str">
        <x:v>土壤接种抑制（oospore germination and soil infestation）</x:v>
      </x:c>
      <x:c r="H225" s="4" t="str">
        <x:v>0.1 mmol/g土壤：EI% ≈ 100；0.01 mmol/g：显著抑制；0.001 mmol/g：仍显著抑制</x:v>
      </x:c>
      <x:c r="I225" s="4" t="str">
        <x:v>MES buffer control</x:v>
      </x:c>
      <x:c r="J225" s="4" t="str">
        <x:v>未明确</x:v>
      </x:c>
      <x:c r="K225" s="4" t="str">
        <x:v>未进行</x:v>
      </x:c>
      <x:c r="L225" s="4" t="str">
        <x:v>未测试</x:v>
      </x:c>
      <x:c r="M225" s="4" t="str">
        <x:v>未报道</x:v>
      </x:c>
      <x:c r="N225" s="4" t="str">
        <x:v>未测试</x:v>
      </x:c>
      <x:c r="O225" s="4" t="str">
        <x:v>Manici et al., 2000, Suppressive activity of some glucosinolate enzyme degradation products on Pythium irregulare and Rhizoctonia solani in sterile soil</x:v>
      </x:c>
      <x:c r="P225" s="4" t="str"/>
    </x:row>
    <x:row r="226" ht="54" customHeight="1">
      <x:c r="A226" s="4" t="str">
        <x:v>sinigrin degradation products</x:v>
      </x:c>
      <x:c r="B226" s="4" t="str">
        <x:v>allyl isothiocyanate</x:v>
      </x:c>
      <x:c r="C226" s="4" t="str">
        <x:v>硫代葡萄糖苷降解产物（异硫氰酸酯）</x:v>
      </x:c>
      <x:c r="D226" s="4" t="str">
        <x:v>植物天然产物</x:v>
      </x:c>
      <x:c r="E226" s="4" t="str">
        <x:v>芸薹科植物来源的硫代葡萄糖苷经芥子酶水解所得</x:v>
      </x:c>
      <x:c r="F226" s="4" t="str">
        <x:v>Pythium irregulare</x:v>
      </x:c>
      <x:c r="G226" s="4" t="str">
        <x:v>土壤接种抑制（oospore germination and soil infestation）</x:v>
      </x:c>
      <x:c r="H226" s="4" t="str">
        <x:v>0.1 mmol/g：抑制效果与0.01 mmol/g thiofunctionalised GLDPs相当；0.5 mmol/g：完全抑制</x:v>
      </x:c>
      <x:c r="I226" s="4" t="str">
        <x:v>MES buffer control</x:v>
      </x:c>
      <x:c r="J226" s="4" t="str">
        <x:v>未明确</x:v>
      </x:c>
      <x:c r="K226" s="4" t="str">
        <x:v>未进行</x:v>
      </x:c>
      <x:c r="L226" s="4" t="str">
        <x:v>未测试</x:v>
      </x:c>
      <x:c r="M226" s="4" t="str">
        <x:v>未报道</x:v>
      </x:c>
      <x:c r="N226" s="4" t="str">
        <x:v>未测试</x:v>
      </x:c>
      <x:c r="O226" s="4" t="str">
        <x:v>Manici et al., 2000, Suppressive activity of some glucosinolate enzyme degradation products on Pythium irregulare and Rhizoctonia solani in sterile soil</x:v>
      </x:c>
      <x:c r="P226" s="4" t="str"/>
    </x:row>
    <x:row r="227" ht="54" customHeight="1">
      <x:c r="A227" s="4" t="str">
        <x:v>epi-progoitrin degradation products</x:v>
      </x:c>
      <x:c r="B227" s="4" t="str">
        <x:v>vinyl-oxazolidine-2-thione</x:v>
      </x:c>
      <x:c r="C227" s="4" t="str">
        <x:v>硫代葡萄糖苷降解产物（噁唑烷硫酮）</x:v>
      </x:c>
      <x:c r="D227" s="4" t="str">
        <x:v>植物天然产物</x:v>
      </x:c>
      <x:c r="E227" s="4" t="str">
        <x:v>芸薹科植物来源的硫代葡萄糖苷经芥子酶水解后自发环化所得</x:v>
      </x:c>
      <x:c r="F227" s="4" t="str">
        <x:v>Pythium irregulare</x:v>
      </x:c>
      <x:c r="G227" s="4" t="str">
        <x:v>土壤接种抑制（oospore germination and soil infestation）</x:v>
      </x:c>
      <x:c r="H227" s="4" t="str">
        <x:v>0.1 mmol/g：抑制效果与0.001 mmol/g thiofunctionalised GLDPs相当；0.5 mmol/g：抑制75%</x:v>
      </x:c>
      <x:c r="I227" s="4" t="str">
        <x:v>MES buffer control</x:v>
      </x:c>
      <x:c r="J227" s="4" t="str">
        <x:v>未明确</x:v>
      </x:c>
      <x:c r="K227" s="4" t="str">
        <x:v>未进行</x:v>
      </x:c>
      <x:c r="L227" s="4" t="str">
        <x:v>未测试</x:v>
      </x:c>
      <x:c r="M227" s="4" t="str">
        <x:v>未报道</x:v>
      </x:c>
      <x:c r="N227" s="4" t="str">
        <x:v>未测试</x:v>
      </x:c>
      <x:c r="O227" s="4" t="str">
        <x:v>Manici et al., 2000, Suppressive activity of some glucosinolate enzyme degradation products on Pythium irregulare and Rhizoctonia solani in sterile soil</x:v>
      </x:c>
      <x:c r="P227" s="4" t="str"/>
    </x:row>
    <x:row r="228" ht="54" customHeight="1">
      <x:c r="A228" s="4" t="str">
        <x:v>glucoiberin degradation products</x:v>
      </x:c>
      <x:c r="B228" s="4" t="str">
        <x:v>3-methylthiopropyl isothiocyanate</x:v>
      </x:c>
      <x:c r="C228" s="4" t="str">
        <x:v>硫代葡萄糖苷降解产物（异硫氰酸酯）</x:v>
      </x:c>
      <x:c r="D228" s="4" t="str">
        <x:v>植物天然产物</x:v>
      </x:c>
      <x:c r="E228" s="4" t="str">
        <x:v>芸薹科植物来源的硫代葡萄糖苷经芥子酶水解所得</x:v>
      </x:c>
      <x:c r="F228" s="4" t="str">
        <x:v>Rhizoctonia solani</x:v>
      </x:c>
      <x:c r="G228" s="4" t="str">
        <x:v>土壤接种抑制（bait colonisation assay）</x:v>
      </x:c>
      <x:c r="H228" s="4" t="str">
        <x:v>0.5 mmol/g：EI% = 100；0.2 mmol/g：EI% &gt; 50</x:v>
      </x:c>
      <x:c r="I228" s="4" t="str">
        <x:v>phosphate buffer control</x:v>
      </x:c>
      <x:c r="J228" s="4" t="str">
        <x:v>未明确</x:v>
      </x:c>
      <x:c r="K228" s="4" t="str">
        <x:v>未进行</x:v>
      </x:c>
      <x:c r="L228" s="4" t="str">
        <x:v>未测试</x:v>
      </x:c>
      <x:c r="M228" s="4" t="str">
        <x:v>未报道</x:v>
      </x:c>
      <x:c r="N228" s="4" t="str">
        <x:v>未测试</x:v>
      </x:c>
      <x:c r="O228" s="4" t="str">
        <x:v>Manici et al., 2000, Suppressive activity of some glucosinolate enzyme degradation products on Pythium irregulare and Rhizoctonia solani in sterile soil</x:v>
      </x:c>
      <x:c r="P228" s="4" t="str"/>
    </x:row>
    <x:row r="229" ht="54" customHeight="1">
      <x:c r="A229" s="4" t="str">
        <x:v>glucoerucin degradation products</x:v>
      </x:c>
      <x:c r="B229" s="4" t="str">
        <x:v>4-methylthiobutyl isothiocyanate</x:v>
      </x:c>
      <x:c r="C229" s="4" t="str">
        <x:v>硫代葡萄糖苷降解产物（异硫氰酸酯）</x:v>
      </x:c>
      <x:c r="D229" s="4" t="str">
        <x:v>植物天然产物</x:v>
      </x:c>
      <x:c r="E229" s="4" t="str">
        <x:v>芸薹科植物来源的硫代葡萄糖苷经芥子酶水解所得</x:v>
      </x:c>
      <x:c r="F229" s="4" t="str">
        <x:v>Rhizoctonia solani</x:v>
      </x:c>
      <x:c r="G229" s="4" t="str">
        <x:v>土壤接种抑制（bait colonisation assay）</x:v>
      </x:c>
      <x:c r="H229" s="4" t="str">
        <x:v>0.5 mmol/g：EI% = 100；0.2 mmol/g：EI% &gt; 50</x:v>
      </x:c>
      <x:c r="I229" s="4" t="str">
        <x:v>phosphate buffer control</x:v>
      </x:c>
      <x:c r="J229" s="4" t="str">
        <x:v>未明确</x:v>
      </x:c>
      <x:c r="K229" s="4" t="str">
        <x:v>未进行</x:v>
      </x:c>
      <x:c r="L229" s="4" t="str">
        <x:v>未测试</x:v>
      </x:c>
      <x:c r="M229" s="4" t="str">
        <x:v>未报道</x:v>
      </x:c>
      <x:c r="N229" s="4" t="str">
        <x:v>未测试</x:v>
      </x:c>
      <x:c r="O229" s="4" t="str">
        <x:v>Manici et al., 2000, Suppressive activity of some glucosinolate enzyme degradation products on Pythium irregulare and Rhizoctonia solani in sterile soil</x:v>
      </x:c>
      <x:c r="P229" s="4" t="str"/>
    </x:row>
    <x:row r="230" ht="54" customHeight="1">
      <x:c r="A230" s="4" t="str">
        <x:v>sinigrin degradation products</x:v>
      </x:c>
      <x:c r="B230" s="4" t="str">
        <x:v>allyl isothiocyanate</x:v>
      </x:c>
      <x:c r="C230" s="4" t="str">
        <x:v>硫代葡萄糖苷降解产物（异硫氰酸酯）</x:v>
      </x:c>
      <x:c r="D230" s="4" t="str">
        <x:v>植物天然产物</x:v>
      </x:c>
      <x:c r="E230" s="4" t="str">
        <x:v>芸薹科植物来源的硫代葡萄糖苷经芥子酶水解所得</x:v>
      </x:c>
      <x:c r="F230" s="4" t="str">
        <x:v>Rhizoctonia solani</x:v>
      </x:c>
      <x:c r="G230" s="4" t="str">
        <x:v>土壤接种抑制（bait colonisation assay）</x:v>
      </x:c>
      <x:c r="H230" s="4" t="str">
        <x:v>0.5 mmol/g：EI% = 100；0.2 mmol/g：EI% &gt; 50</x:v>
      </x:c>
      <x:c r="I230" s="4" t="str">
        <x:v>phosphate buffer control</x:v>
      </x:c>
      <x:c r="J230" s="4" t="str">
        <x:v>未明确</x:v>
      </x:c>
      <x:c r="K230" s="4" t="str">
        <x:v>未进行</x:v>
      </x:c>
      <x:c r="L230" s="4" t="str">
        <x:v>未测试</x:v>
      </x:c>
      <x:c r="M230" s="4" t="str">
        <x:v>未报道</x:v>
      </x:c>
      <x:c r="N230" s="4" t="str">
        <x:v>未测试</x:v>
      </x:c>
      <x:c r="O230" s="4" t="str">
        <x:v>Manici et al., 2000, Suppressive activity of some glucosinolate enzyme degradation products on Pythium irregulare and Rhizoctonia solani in sterile soil</x:v>
      </x:c>
      <x:c r="P230" s="4" t="str"/>
    </x:row>
    <x:row r="231" ht="54" customHeight="1">
      <x:c r="A231" s="4" t="str">
        <x:v>epi-progoitrin degradation products</x:v>
      </x:c>
      <x:c r="B231" s="4" t="str">
        <x:v>vinyl-oxazolidine-2-thione</x:v>
      </x:c>
      <x:c r="C231" s="4" t="str">
        <x:v>硫代葡萄糖苷降解产物（噁唑烷硫酮）</x:v>
      </x:c>
      <x:c r="D231" s="4" t="str">
        <x:v>植物天然产物</x:v>
      </x:c>
      <x:c r="E231" s="4" t="str">
        <x:v>芸薹科植物来源的硫代葡萄糖苷经芥子酶水解后自发环化所得</x:v>
      </x:c>
      <x:c r="F231" s="4" t="str">
        <x:v>Rhizoctonia solani</x:v>
      </x:c>
      <x:c r="G231" s="4" t="str">
        <x:v>土壤接种抑制（bait colonisation assay）</x:v>
      </x:c>
      <x:c r="H231" s="4" t="str">
        <x:v>0.5 和 0.2 mmol/g：无抑制活性（EI% ≈ 0）</x:v>
      </x:c>
      <x:c r="I231" s="4" t="str">
        <x:v>phosphate buffer control</x:v>
      </x:c>
      <x:c r="J231" s="4" t="str">
        <x:v>未明确</x:v>
      </x:c>
      <x:c r="K231" s="4" t="str">
        <x:v>未进行</x:v>
      </x:c>
      <x:c r="L231" s="4" t="str">
        <x:v>未测试</x:v>
      </x:c>
      <x:c r="M231" s="4" t="str">
        <x:v>未报道</x:v>
      </x:c>
      <x:c r="N231" s="4" t="str">
        <x:v>未测试</x:v>
      </x:c>
      <x:c r="O231" s="4" t="str">
        <x:v>Manici et al., 2000, Suppressive activity of some glucosinolate enzyme degradation products on Pythium irregulare and Rhizoctonia solani in sterile soil</x:v>
      </x:c>
      <x:c r="P231" s="4" t="str"/>
    </x:row>
    <x:row r="232" ht="54" customHeight="1">
      <x:c r="A232" s="4" t="str">
        <x:v>Paraconiothyrium brasiliense CMU-196 mycelium</x:v>
      </x:c>
      <x:c r="B232" s="4" t="str"/>
      <x:c r="C232" s="4" t="str">
        <x:v>微生物（真菌菌丝体）</x:v>
      </x:c>
      <x:c r="D232" s="4" t="str">
        <x:v>微生物</x:v>
      </x:c>
      <x:c r="E232" s="4" t="str">
        <x:v>Paraconiothyrium brasiliense，土壤分离株CMU-196</x:v>
      </x:c>
      <x:c r="F232" s="4" t="str">
        <x:v>Phytophthora cinnamomi</x:v>
      </x:c>
      <x:c r="G232" s="4" t="str">
        <x:v>菌丝生长抑制（对峙培养）</x:v>
      </x:c>
      <x:c r="H232" s="4" t="str">
        <x:v>抑制率91.1%</x:v>
      </x:c>
      <x:c r="I232" s="4" t="str"/>
      <x:c r="J232" s="4" t="str"/>
      <x:c r="K232" s="4" t="str"/>
      <x:c r="L232" s="4" t="str"/>
      <x:c r="M232" s="4" t="str"/>
      <x:c r="N232" s="4" t="str"/>
      <x:c r="O232" s="4" t="str">
        <x:v>Arredondo-Santoyo et al., 2018, Biotechnology Progress, 10.1002/btpr.2653</x:v>
      </x:c>
      <x:c r="P232" s="4" t="str"/>
    </x:row>
    <x:row r="233" ht="54" customHeight="1">
      <x:c r="A233" s="4" t="str">
        <x:v>Paraconiothyrium brasiliense CMU-196 mycelium</x:v>
      </x:c>
      <x:c r="B233" s="4" t="str"/>
      <x:c r="C233" s="4" t="str">
        <x:v>微生物（真菌菌丝体）</x:v>
      </x:c>
      <x:c r="D233" s="4" t="str">
        <x:v>微生物</x:v>
      </x:c>
      <x:c r="E233" s="4" t="str">
        <x:v>Paraconiothyrium brasiliense，土壤分离株CMU-196</x:v>
      </x:c>
      <x:c r="F233" s="4" t="str">
        <x:v>Phytophthora capsici</x:v>
      </x:c>
      <x:c r="G233" s="4" t="str">
        <x:v>菌丝生长抑制（对峙培养）</x:v>
      </x:c>
      <x:c r="H233" s="4" t="str">
        <x:v>抑制率70%</x:v>
      </x:c>
      <x:c r="I233" s="4" t="str"/>
      <x:c r="J233" s="4" t="str"/>
      <x:c r="K233" s="4" t="str"/>
      <x:c r="L233" s="4" t="str"/>
      <x:c r="M233" s="4" t="str"/>
      <x:c r="N233" s="4" t="str"/>
      <x:c r="O233" s="4" t="str">
        <x:v>Arredondo-Santoyo et al., 2018, Biotechnology Progress, 10.1002/btpr.2653</x:v>
      </x:c>
      <x:c r="P233" s="4" t="str"/>
    </x:row>
    <x:row r="234" ht="54" customHeight="1">
      <x:c r="A234" s="4" t="str">
        <x:v>Paraconiothyrium brasiliense CMU-196 culture filtrate (pre-grown on cellophane)</x:v>
      </x:c>
      <x:c r="B234" s="4" t="str"/>
      <x:c r="C234" s="4" t="str">
        <x:v>微生物代谢混合物</x:v>
      </x:c>
      <x:c r="D234" s="4" t="str">
        <x:v>微生物</x:v>
      </x:c>
      <x:c r="E234" s="4" t="str">
        <x:v>Paraconiothyrium brasiliense，菌丝在玻璃纸预培养后移除，测试滤液对病原菌的抑制</x:v>
      </x:c>
      <x:c r="F234" s="4" t="str">
        <x:v>Phytophthora cinnamomi</x:v>
      </x:c>
      <x:c r="G234" s="4" t="str">
        <x:v>菌丝生长抑制（玻璃纸法）</x:v>
      </x:c>
      <x:c r="H234" s="4" t="str">
        <x:v>第5天抑制率&gt;75%，第10天抑制率&gt;75%</x:v>
      </x:c>
      <x:c r="I234" s="4" t="str"/>
      <x:c r="J234" s="4" t="str"/>
      <x:c r="K234" s="4" t="str"/>
      <x:c r="L234" s="4" t="str"/>
      <x:c r="M234" s="4" t="str"/>
      <x:c r="N234" s="4" t="str"/>
      <x:c r="O234" s="4" t="str">
        <x:v>Arredondo-Santoyo et al., 2018, Biotechnology Progress, 10.1002/btpr.2653</x:v>
      </x:c>
      <x:c r="P234" s="4" t="str"/>
    </x:row>
    <x:row r="235" ht="54" customHeight="1">
      <x:c r="A235" s="4" t="str">
        <x:v>Paraconiothyrium brasiliense CMU-196 culture filtrate (pre-grown on cellophane)</x:v>
      </x:c>
      <x:c r="B235" s="4" t="str"/>
      <x:c r="C235" s="4" t="str">
        <x:v>微生物代谢混合物</x:v>
      </x:c>
      <x:c r="D235" s="4" t="str">
        <x:v>微生物</x:v>
      </x:c>
      <x:c r="E235" s="4" t="str">
        <x:v>Paraconiothyrium brasiliense，菌丝在玻璃纸预培养后移除，测试滤液对病原菌的抑制</x:v>
      </x:c>
      <x:c r="F235" s="4" t="str">
        <x:v>Phytophthora capsici</x:v>
      </x:c>
      <x:c r="G235" s="4" t="str">
        <x:v>菌丝生长抑制（玻璃纸法）</x:v>
      </x:c>
      <x:c r="H235" s="4" t="str">
        <x:v>第5天抑制率&gt;75%，第10天抑制率&gt;75%</x:v>
      </x:c>
      <x:c r="I235" s="4" t="str"/>
      <x:c r="J235" s="4" t="str"/>
      <x:c r="K235" s="4" t="str"/>
      <x:c r="L235" s="4" t="str"/>
      <x:c r="M235" s="4" t="str"/>
      <x:c r="N235" s="4" t="str"/>
      <x:c r="O235" s="4" t="str">
        <x:v>Arredondo-Santoyo et al., 2018, Biotechnology Progress, 10.1002/btpr.2653</x:v>
      </x:c>
      <x:c r="P235" s="4" t="str"/>
    </x:row>
    <x:row r="236" ht="54" customHeight="1">
      <x:c r="A236" s="4" t="str">
        <x:v>I-7</x:v>
      </x:c>
      <x:c r="B236" s="4" t="str">
        <x:v>Methyl (E)-2-(2-((3-(3-(difluoromethyl)-1-methyl-1H-pyrazol-4-yl) phenoxy) methyl) phenyl)-2-(methoxyimino) acetate</x:v>
      </x:c>
      <x:c r="C236" s="4" t="str">
        <x:v>杂环类（吡唑-甲氧基丙烯酸酯）</x:v>
      </x:c>
      <x:c r="D236" s="4" t="str">
        <x:v>化学合成</x:v>
      </x:c>
      <x:c r="E236" s="4" t="str">
        <x:v>以化合物2a为原料，经溴代甲氧基丙烯酸酯取代后与甲胺发生亲核取代反应制得</x:v>
      </x:c>
      <x:c r="F236" s="4" t="str">
        <x:v>Phytophthora infestans</x:v>
      </x:c>
      <x:c r="G236" s="4" t="str">
        <x:v>菌丝生长抑制</x:v>
      </x:c>
      <x:c r="H236" s="4" t="str">
        <x:v>EC50 = 0.07 μg/mL</x:v>
      </x:c>
      <x:c r="I236" s="4" t="str">
        <x:v>azoxystrobin (EC50=2.21 μg/mL)</x:v>
      </x:c>
      <x:c r="J236" s="4" t="str">
        <x:v>抑制细胞色素bc1复合物（Qo位点）</x:v>
      </x:c>
      <x:c r="K236" s="4" t="str">
        <x:v>分子对接（PDB: 3TGU）</x:v>
      </x:c>
      <x:c r="L236" s="4" t="str"/>
      <x:c r="M236" s="4" t="str"/>
      <x:c r="N236" s="4" t="str"/>
      <x:c r="O236" s="4" t="str">
        <x:v>Hao et al., Chin J Chem, 2021, DOI: 10.1002/cjoc.202000685</x:v>
      </x:c>
      <x:c r="P236" s="4" t="str"/>
    </x:row>
    <x:row r="237" ht="54" customHeight="1">
      <x:c r="A237" s="4" t="str">
        <x:v>I-1</x:v>
      </x:c>
      <x:c r="B237" s="4" t="str">
        <x:v>Methyl (E)-2-(2-((3-(1,3-dimethyl-1H-pyrazol-4-yl) phenoxy) methyl) phenyl)-3-methoxyacrylate</x:v>
      </x:c>
      <x:c r="C237" s="4" t="str">
        <x:v>杂环类（吡唑-甲氧基丙烯酸酯）</x:v>
      </x:c>
      <x:c r="D237" s="4" t="str">
        <x:v>化学合成</x:v>
      </x:c>
      <x:c r="E237" s="4" t="str">
        <x:v>以化合物2a为原料，与溴代甲氧基丙烯酸酯在乙腈中回流反应制得</x:v>
      </x:c>
      <x:c r="F237" s="4" t="str">
        <x:v>Physalospora piricola</x:v>
      </x:c>
      <x:c r="G237" s="4" t="str">
        <x:v>菌丝生长抑制</x:v>
      </x:c>
      <x:c r="H237" s="4" t="str">
        <x:v>EC50 = 0.38 μg/mL</x:v>
      </x:c>
      <x:c r="I237" s="4" t="str">
        <x:v>azoxystrobin (EC50=3.58 μg/mL), kresoxim-methyl (EC50=19.36 μg/mL)</x:v>
      </x:c>
      <x:c r="J237" s="4" t="str">
        <x:v>抑制细胞色素bc1复合物（Qo位点）</x:v>
      </x:c>
      <x:c r="K237" s="4" t="str"/>
      <x:c r="L237" s="4" t="str"/>
      <x:c r="M237" s="4" t="str"/>
      <x:c r="N237" s="4" t="str"/>
      <x:c r="O237" s="4" t="str">
        <x:v>Hao et al., Chin J Chem, 2021, DOI: 10.1002/cjoc.202000685</x:v>
      </x:c>
      <x:c r="P237" s="4" t="str"/>
    </x:row>
    <x:row r="238" ht="54" customHeight="1">
      <x:c r="A238" s="4" t="str">
        <x:v>I-2</x:v>
      </x:c>
      <x:c r="B238" s="4" t="str">
        <x:v>Methyl (E)-2-(2-((4-(1,3-dimethyl-1H-pyrazol-4-yl) phenoxy) methyl) phenyl)-3-methoxyacrylate</x:v>
      </x:c>
      <x:c r="C238" s="4" t="str">
        <x:v>杂环类（吡唑-甲氧基丙烯酸酯）</x:v>
      </x:c>
      <x:c r="D238" s="4" t="str">
        <x:v>化学合成</x:v>
      </x:c>
      <x:c r="E238" s="4" t="str">
        <x:v>以化合物2b为原料，与溴代甲氧基丙烯酸酯在乙腈中回流反应制得</x:v>
      </x:c>
      <x:c r="F238" s="4" t="str">
        <x:v>Sclerotinia sclerotiorum</x:v>
      </x:c>
      <x:c r="G238" s="4" t="str">
        <x:v>菌丝生长抑制</x:v>
      </x:c>
      <x:c r="H238" s="4" t="str">
        <x:v>EC50 = 0.28 μg/mL</x:v>
      </x:c>
      <x:c r="I238" s="4" t="str">
        <x:v>azoxystrobin (EC50=2.21 μg/mL), kresoxim-methyl (EC50=1.62 μg/mL)</x:v>
      </x:c>
      <x:c r="J238" s="4" t="str">
        <x:v>抑制细胞色素bc1复合物（Qo位点）</x:v>
      </x:c>
      <x:c r="K238" s="4" t="str"/>
      <x:c r="L238" s="4" t="str"/>
      <x:c r="M238" s="4" t="str"/>
      <x:c r="N238" s="4" t="str"/>
      <x:c r="O238" s="4" t="str">
        <x:v>Hao et al., Chin J Chem, 2021, DOI: 10.1002/cjoc.202000685</x:v>
      </x:c>
      <x:c r="P238" s="4" t="str"/>
    </x:row>
    <x:row r="239" ht="54" customHeight="1">
      <x:c r="A239" s="4" t="str">
        <x:v>I-7</x:v>
      </x:c>
      <x:c r="B239" s="4" t="str">
        <x:v>Methyl (E)-2-(2-((3-(3-(difluoromethyl)-1-methyl-1H-pyrazol-4-yl) phenoxy) methyl) phenyl)-2-(methoxyimino) acetate</x:v>
      </x:c>
      <x:c r="C239" s="4" t="str">
        <x:v>杂环类（吡唑-甲氧基丙烯酸酯）</x:v>
      </x:c>
      <x:c r="D239" s="4" t="str">
        <x:v>化学合成</x:v>
      </x:c>
      <x:c r="E239" s="4" t="str">
        <x:v>以化合物2a为原料，经溴代甲氧基丙烯酸酯取代后与甲胺发生亲核取代反应制得</x:v>
      </x:c>
      <x:c r="F239" s="4" t="str">
        <x:v>Gibberella zeae</x:v>
      </x:c>
      <x:c r="G239" s="4" t="str">
        <x:v>菌丝生长抑制</x:v>
      </x:c>
      <x:c r="H239" s="4" t="str">
        <x:v>EC50 = 0.16 μg/mL</x:v>
      </x:c>
      <x:c r="I239" s="4" t="str">
        <x:v>azoxystrobin (EC50=1.67 μg/mL)</x:v>
      </x:c>
      <x:c r="J239" s="4" t="str">
        <x:v>抑制细胞色素bc1复合物（Qo位点）</x:v>
      </x:c>
      <x:c r="K239" s="4" t="str">
        <x:v>分子对接（PDB: 3TGU）</x:v>
      </x:c>
      <x:c r="L239" s="4" t="str"/>
      <x:c r="M239" s="4" t="str"/>
      <x:c r="N239" s="4" t="str"/>
      <x:c r="O239" s="4" t="str">
        <x:v>Hao et al., Chin J Chem, 2021, DOI: 10.1002/cjoc.202000685</x:v>
      </x:c>
      <x:c r="P239" s="4" t="str"/>
    </x:row>
    <x:row r="240" ht="54" customHeight="1">
      <x:c r="A240" s="4" t="str">
        <x:v>I-7</x:v>
      </x:c>
      <x:c r="B240" s="4" t="str">
        <x:v>Methyl (E)-2-(2-((3-(3-(difluoromethyl)-1-methyl-1H-pyrazol-4-yl) phenoxy) methyl) phenyl)-2-(methoxyimino) acetate</x:v>
      </x:c>
      <x:c r="C240" s="4" t="str">
        <x:v>杂环类（吡唑-甲氧基丙烯酸酯）</x:v>
      </x:c>
      <x:c r="D240" s="4" t="str">
        <x:v>化学合成</x:v>
      </x:c>
      <x:c r="E240" s="4" t="str">
        <x:v>以化合物2a为原料，经溴代甲氧基丙烯酸酯取代后与甲胺发生亲核取代反应制得</x:v>
      </x:c>
      <x:c r="F240" s="4" t="str">
        <x:v>Rhizoctonia cerealis</x:v>
      </x:c>
      <x:c r="G240" s="4" t="str">
        <x:v>菌丝生长抑制</x:v>
      </x:c>
      <x:c r="H240" s="4" t="str">
        <x:v>EC50 = 0.02 μg/mL</x:v>
      </x:c>
      <x:c r="I240" s="4" t="str"/>
      <x:c r="J240" s="4" t="str">
        <x:v>抑制细胞色素bc1复合物（Qo位点）</x:v>
      </x:c>
      <x:c r="K240" s="4" t="str">
        <x:v>分子对接（PDB: 3TGU）</x:v>
      </x:c>
      <x:c r="L240" s="4" t="str"/>
      <x:c r="M240" s="4" t="str"/>
      <x:c r="N240" s="4" t="str"/>
      <x:c r="O240" s="4" t="str">
        <x:v>Hao et al., Chin J Chem, 2021, DOI: 10.1002/cjoc.202000685</x:v>
      </x:c>
      <x:c r="P240" s="4" t="str"/>
    </x:row>
    <x:row r="241" ht="54" customHeight="1">
      <x:c r="A241" s="4" t="str">
        <x:v>I-7</x:v>
      </x:c>
      <x:c r="B241" s="4" t="str">
        <x:v>Methyl (E)-2-(2-((3-(3-(difluoromethyl)-1-methyl-1H-pyrazol-4-yl) phenoxy) methyl) phenyl)-2-(methoxyimino) acetate</x:v>
      </x:c>
      <x:c r="C241" s="4" t="str">
        <x:v>杂环类（吡唑-甲氧基丙烯酸酯）</x:v>
      </x:c>
      <x:c r="D241" s="4" t="str">
        <x:v>化学合成</x:v>
      </x:c>
      <x:c r="E241" s="4" t="str">
        <x:v>以化合物2a为原料，经溴代甲氧基丙烯酸酯取代后与甲胺发生亲核取代反应制得</x:v>
      </x:c>
      <x:c r="F241" s="4" t="str">
        <x:v>Sclerotinia sclerotiorum</x:v>
      </x:c>
      <x:c r="G241" s="4" t="str">
        <x:v>菌丝生长抑制</x:v>
      </x:c>
      <x:c r="H241" s="4" t="str">
        <x:v>EC50 = 0.72 μg/mL</x:v>
      </x:c>
      <x:c r="I241" s="4" t="str"/>
      <x:c r="J241" s="4" t="str">
        <x:v>抑制细胞色素bc1复合物（Qo位点）</x:v>
      </x:c>
      <x:c r="K241" s="4" t="str">
        <x:v>分子对接（PDB: 3TGU）</x:v>
      </x:c>
      <x:c r="L241" s="4" t="str"/>
      <x:c r="M241" s="4" t="str"/>
      <x:c r="N241" s="4" t="str"/>
      <x:c r="O241" s="4" t="str">
        <x:v>Hao et al., Chin J Chem, 2021, DOI: 10.1002/cjoc.202000685</x:v>
      </x:c>
      <x:c r="P241" s="4" t="str"/>
    </x:row>
    <x:row r="242" ht="54" customHeight="1">
      <x:c r="A242" s="4" t="str">
        <x:v>I-7</x:v>
      </x:c>
      <x:c r="B242" s="4" t="str">
        <x:v>Methyl (E)-2-(2-((3-(3-(difluoromethyl)-1-methyl-1H-pyrazol-4-yl) phenoxy) methyl) phenyl)-2-(methoxyimino) acetate</x:v>
      </x:c>
      <x:c r="C242" s="4" t="str">
        <x:v>杂环类（吡唑-甲氧基丙烯酸酯）</x:v>
      </x:c>
      <x:c r="D242" s="4" t="str">
        <x:v>化学合成</x:v>
      </x:c>
      <x:c r="E242" s="4" t="str">
        <x:v>以化合物2a为原料，经溴代甲氧基丙烯酸酯取代后与甲胺发生亲核取代反应制得</x:v>
      </x:c>
      <x:c r="F242" s="4" t="str">
        <x:v>Physalospora piricola</x:v>
      </x:c>
      <x:c r="G242" s="4" t="str">
        <x:v>菌丝生长抑制</x:v>
      </x:c>
      <x:c r="H242" s="4" t="str">
        <x:v>EC50 = 0.77 μg/mL</x:v>
      </x:c>
      <x:c r="I242" s="4" t="str"/>
      <x:c r="J242" s="4" t="str">
        <x:v>抑制细胞色素bc1复合物（Qo位点）</x:v>
      </x:c>
      <x:c r="K242" s="4" t="str">
        <x:v>分子对接（PDB: 3TGU）</x:v>
      </x:c>
      <x:c r="L242" s="4" t="str"/>
      <x:c r="M242" s="4" t="str"/>
      <x:c r="N242" s="4" t="str"/>
      <x:c r="O242" s="4" t="str">
        <x:v>Hao et al., Chin J Chem, 2021, DOI: 10.1002/cjoc.202000685</x:v>
      </x:c>
      <x:c r="P242" s="4" t="str"/>
    </x:row>
    <x:row r="243" ht="54" customHeight="1">
      <x:c r="A243" s="4" t="str">
        <x:v>I-7</x:v>
      </x:c>
      <x:c r="B243" s="4" t="str">
        <x:v>Methyl (E)-2-(2-((3-(3-(difluoromethyl)-1-methyl-1H-pyrazol-4-yl) phenoxy) methyl) phenyl)-2-(methoxyimino) acetate</x:v>
      </x:c>
      <x:c r="C243" s="4" t="str">
        <x:v>杂环类（吡唑-甲氧基丙烯酸酯）</x:v>
      </x:c>
      <x:c r="D243" s="4" t="str">
        <x:v>化学合成</x:v>
      </x:c>
      <x:c r="E243" s="4" t="str">
        <x:v>以化合物2a为原料，经溴代甲氧基丙烯酸酯取代后与甲胺发生亲核取代反应制得</x:v>
      </x:c>
      <x:c r="F243" s="4" t="str">
        <x:v>Pellicularia sasakii</x:v>
      </x:c>
      <x:c r="G243" s="4" t="str">
        <x:v>菌丝生长抑制</x:v>
      </x:c>
      <x:c r="H243" s="4" t="str">
        <x:v>EC50 = 0.65 μg/mL</x:v>
      </x:c>
      <x:c r="I243" s="4" t="str"/>
      <x:c r="J243" s="4" t="str">
        <x:v>抑制细胞色素bc1复合物（Qo位点）</x:v>
      </x:c>
      <x:c r="K243" s="4" t="str">
        <x:v>分子对接（PDB: 3TGU）</x:v>
      </x:c>
      <x:c r="L243" s="4" t="str"/>
      <x:c r="M243" s="4" t="str"/>
      <x:c r="N243" s="4" t="str"/>
      <x:c r="O243" s="4" t="str">
        <x:v>Hao et al., Chin J Chem, 2021, DOI: 10.1002/cjoc.202000685</x:v>
      </x:c>
      <x:c r="P243" s="4" t="str"/>
    </x:row>
    <x:row r="244" ht="54" customHeight="1">
      <x:c r="A244" s="4" t="str">
        <x:v>III-6</x:v>
      </x:c>
      <x:c r="B244" s="4" t="str">
        <x:v>N-(Pyridin-3-yl)-3,4,5,6-tetrahydro-phthalimide</x:v>
      </x:c>
      <x:c r="C244" s="4" t="str">
        <x:v>酰亚胺类（N-杂环酰亚胺）</x:v>
      </x:c>
      <x:c r="D244" s="4" t="str">
        <x:v>化学合成</x:v>
      </x:c>
      <x:c r="E244" s="4" t="str">
        <x:v>以3-氨基吡啶与3,4,5,6-四氢邻苯二甲酸酐在DCC存在下于甲苯中回流反应制得</x:v>
      </x:c>
      <x:c r="F244" s="4" t="str">
        <x:v>Phytophthora capsici</x:v>
      </x:c>
      <x:c r="G244" s="4" t="str">
        <x:v>菌丝生长抑制</x:v>
      </x:c>
      <x:c r="H244" s="4" t="str">
        <x:v>25 µg/mL 下表现“优异的抑菌活性”（按文中分级应为4–5级，即抑制率≥60%）</x:v>
      </x:c>
      <x:c r="I244" s="4" t="str">
        <x:v>未提供</x:v>
      </x:c>
      <x:c r="J244" s="4" t="str">
        <x:v>未提及</x:v>
      </x:c>
      <x:c r="K244" s="4" t="str">
        <x:v>未提及</x:v>
      </x:c>
      <x:c r="L244" s="4" t="str">
        <x:v>未提及</x:v>
      </x:c>
      <x:c r="M244" s="4" t="str">
        <x:v>未提及</x:v>
      </x:c>
      <x:c r="N244" s="4" t="str">
        <x:v>未提及</x:v>
      </x:c>
      <x:c r="O244" s="4" t="str">
        <x:v>Wenbin b (陈文彬 Chen, Xi, Zhen, Synthesis and in vitro Fungicidal Activity of a Series of Novel N-(Heterocycly)phthalimides, 无DOI</x:v>
      </x:c>
      <x:c r="P244" s="4" t="str"/>
    </x:row>
    <x:row r="245" ht="54" customHeight="1">
      <x:c r="A245" s="4" t="str">
        <x:v>III-18</x:v>
      </x:c>
      <x:c r="B245" s="4" t="str">
        <x:v>（结构未详，但属N-(杂环)邻苯二甲酰亚胺系列）</x:v>
      </x:c>
      <x:c r="C245" s="4" t="str">
        <x:v>酰亚胺类（N-杂环酰亚胺）</x:v>
      </x:c>
      <x:c r="D245" s="4" t="str">
        <x:v>化学合成</x:v>
      </x:c>
      <x:c r="E245" s="4" t="str">
        <x:v>参照Scheme 1通用合成法，由相应杂环胺与邻苯二甲酸酐衍生物缩合</x:v>
      </x:c>
      <x:c r="F245" s="4" t="str">
        <x:v>Phytophthora capsici</x:v>
      </x:c>
      <x:c r="G245" s="4" t="str">
        <x:v>菌丝生长抑制</x:v>
      </x:c>
      <x:c r="H245" s="4" t="str">
        <x:v>25 µg/mL 下表现“优异的抑菌活性”（按文中分级应为4–5级，即抑制率≥60%）</x:v>
      </x:c>
      <x:c r="I245" s="4" t="str">
        <x:v>未提供</x:v>
      </x:c>
      <x:c r="J245" s="4" t="str">
        <x:v>未提及</x:v>
      </x:c>
      <x:c r="K245" s="4" t="str">
        <x:v>未提及</x:v>
      </x:c>
      <x:c r="L245" s="4" t="str">
        <x:v>未提及</x:v>
      </x:c>
      <x:c r="M245" s="4" t="str">
        <x:v>未提及</x:v>
      </x:c>
      <x:c r="N245" s="4" t="str">
        <x:v>未提及</x:v>
      </x:c>
      <x:c r="O245" s="4" t="str">
        <x:v>Wenbin b (陈文彬 Chen, Xi, Zhen, Synthesis and in vitro Fungicidal Activity of a Series of Novel N-(Heterocycly)phthalimides, 无DOI</x:v>
      </x:c>
      <x:c r="P245" s="4" t="str"/>
    </x:row>
    <x:row r="246" ht="54" customHeight="1">
      <x:c r="A246" s="4" t="str">
        <x:v>kakuol (1)</x:v>
      </x:c>
      <x:c r="B246" s="4" t="str">
        <x:v>2-hydroxy-4,5-(methylenedioxy)propiophenone</x:v>
      </x:c>
      <x:c r="C246" s="4" t="str">
        <x:v>苯丙素类（丙酰苯衍生物）</x:v>
      </x:c>
      <x:c r="D246" s="4" t="str">
        <x:v>化学合成</x:v>
      </x:c>
      <x:c r="E246" s="4" t="str">
        <x:v>以芝麻酚为原料，BF₃·Et₂O催化下与丙酸酐一步Fries重排合成</x:v>
      </x:c>
      <x:c r="F246" s="4" t="str">
        <x:v>Phytophthora infestans</x:v>
      </x:c>
      <x:c r="G246" s="4" t="str">
        <x:v>菌丝生长抑制</x:v>
      </x:c>
      <x:c r="H246" s="4" t="str">
        <x:v>62.5 μg/mL 抑制率31%；125 μg/mL 抑制率41%</x:v>
      </x:c>
      <x:c r="I246" s="4" t="str">
        <x:v>Euparen (tolylfluanide), Sideral (procymidone), tetraconazole</x:v>
      </x:c>
      <x:c r="J246" s="4" t="str">
        <x:v>未明确</x:v>
      </x:c>
      <x:c r="K246" s="4" t="str">
        <x:v>未进行</x:v>
      </x:c>
      <x:c r="L246" s="4" t="str"/>
      <x:c r="M246" s="4" t="str"/>
      <x:c r="N246" s="4" t="str"/>
      <x:c r="O246" s="4" t="str">
        <x:v>Musso et al., Synthesis and Antifungal Activity of 2-Hydroxy-4,5-methylenedioxyaryl Ketones as Analogues of Kakuol</x:v>
      </x:c>
      <x:c r="P246" s="4" t="str"/>
    </x:row>
    <x:row r="247" ht="54" customHeight="1">
      <x:c r="A247" s="4" t="str">
        <x:v>kakuol (1)</x:v>
      </x:c>
      <x:c r="B247" s="4" t="str">
        <x:v>2-hydroxy-4,5-(methylenedioxy)propiophenone</x:v>
      </x:c>
      <x:c r="C247" s="4" t="str">
        <x:v>苯丙素类（丙酰苯衍生物）</x:v>
      </x:c>
      <x:c r="D247" s="4" t="str">
        <x:v>化学合成</x:v>
      </x:c>
      <x:c r="E247" s="4" t="str">
        <x:v>以芝麻酚为原料，BF₃·Et₂O催化下与丙酸酐一步Fries重排合成</x:v>
      </x:c>
      <x:c r="F247" s="4" t="str">
        <x:v>Pythium ultimum</x:v>
      </x:c>
      <x:c r="G247" s="4" t="str">
        <x:v>菌丝生长抑制</x:v>
      </x:c>
      <x:c r="H247" s="4" t="str">
        <x:v>62.5 μg/mL 抑制率70%；125 μg/mL 抑制率82%</x:v>
      </x:c>
      <x:c r="I247" s="4" t="str">
        <x:v>Euparen (tolylfluanide), Sideral (procymidone), tetraconazole</x:v>
      </x:c>
      <x:c r="J247" s="4" t="str">
        <x:v>未明确</x:v>
      </x:c>
      <x:c r="K247" s="4" t="str">
        <x:v>未进行</x:v>
      </x:c>
      <x:c r="L247" s="4" t="str"/>
      <x:c r="M247" s="4" t="str"/>
      <x:c r="N247" s="4" t="str"/>
      <x:c r="O247" s="4" t="str">
        <x:v>Musso et al., Synthesis and Antifungal Activity of 2-Hydroxy-4,5-methylenedioxyaryl Ketones as Analogues of Kakuol</x:v>
      </x:c>
      <x:c r="P247" s="4" t="str"/>
    </x:row>
    <x:row r="248" ht="54" customHeight="1">
      <x:c r="A248" s="4" t="str">
        <x:v>compound 5a</x:v>
      </x:c>
      <x:c r="B248" s="4" t="str">
        <x:v>(E)-1-(2-hydroxy-4,5-methylenedioxyphenyl)but-1-en-1-one</x:v>
      </x:c>
      <x:c r="C248" s="4" t="str">
        <x:v>苯丙素类（α,β-不饱和酮）</x:v>
      </x:c>
      <x:c r="D248" s="4" t="str">
        <x:v>化学合成</x:v>
      </x:c>
      <x:c r="E248" s="4" t="str">
        <x:v>由3,4-(亚甲二氧基)酚镁盐与巴豆酰氯反应制得</x:v>
      </x:c>
      <x:c r="F248" s="4" t="str">
        <x:v>Phytophthora infestans</x:v>
      </x:c>
      <x:c r="G248" s="4" t="str">
        <x:v>菌丝生长抑制</x:v>
      </x:c>
      <x:c r="H248" s="4" t="str">
        <x:v>MIC ≈ 25 μg/mL；62.5 μg/mL 抑制率92%；125 μg/mL 抑制率100%</x:v>
      </x:c>
      <x:c r="I248" s="4" t="str">
        <x:v>Euparen (tolylfluanide), Sideral (procymidone), tetraconazole</x:v>
      </x:c>
      <x:c r="J248" s="4" t="str">
        <x:v>干扰孢子萌发（fungicidal）</x:v>
      </x:c>
      <x:c r="K248" s="4" t="str">
        <x:v>光学显微镜观察孢子萌发</x:v>
      </x:c>
      <x:c r="L248" s="4" t="str"/>
      <x:c r="M248" s="4" t="str"/>
      <x:c r="N248" s="4" t="str"/>
      <x:c r="O248" s="4" t="str">
        <x:v>Musso et al., Synthesis and Antifungal Activity of 2-Hydroxy-4,5-methylenedioxyaryl Ketones as Analogues of Kakuol</x:v>
      </x:c>
      <x:c r="P248" s="4" t="str"/>
    </x:row>
    <x:row r="249" ht="54" customHeight="1">
      <x:c r="A249" s="4" t="str">
        <x:v>compound 5a</x:v>
      </x:c>
      <x:c r="B249" s="4" t="str">
        <x:v>(E)-1-(2-hydroxy-4,5-methylenedioxyphenyl)but-1-en-1-one</x:v>
      </x:c>
      <x:c r="C249" s="4" t="str">
        <x:v>苯丙素类（α,β-不饱和酮）</x:v>
      </x:c>
      <x:c r="D249" s="4" t="str">
        <x:v>化学合成</x:v>
      </x:c>
      <x:c r="E249" s="4" t="str">
        <x:v>由3,4-(亚甲二氧基)酚镁盐与巴豆酰氯反应制得</x:v>
      </x:c>
      <x:c r="F249" s="4" t="str">
        <x:v>Pythium ultimum</x:v>
      </x:c>
      <x:c r="G249" s="4" t="str">
        <x:v>菌丝生长抑制</x:v>
      </x:c>
      <x:c r="H249" s="4" t="str">
        <x:v>MIC ≈ 25 μg/mL；62.5 μg/mL 抑制率100%；125 μg/mL 抑制率100%</x:v>
      </x:c>
      <x:c r="I249" s="4" t="str">
        <x:v>Euparen (tolylfluanide), Sideral (procymidone), tetraconazole</x:v>
      </x:c>
      <x:c r="J249" s="4" t="str">
        <x:v>干扰孢子萌发（fungicidal）</x:v>
      </x:c>
      <x:c r="K249" s="4" t="str">
        <x:v>光学显微镜观察孢子萌发</x:v>
      </x:c>
      <x:c r="L249" s="4" t="str"/>
      <x:c r="M249" s="4" t="str"/>
      <x:c r="N249" s="4" t="str"/>
      <x:c r="O249" s="4" t="str">
        <x:v>Musso et al., Synthesis and Antifungal Activity of 2-Hydroxy-4,5-methylenedioxyaryl Ketones as Analogues of Kakuol</x:v>
      </x:c>
      <x:c r="P249" s="4" t="str"/>
    </x:row>
    <x:row r="250" ht="54" customHeight="1">
      <x:c r="A250" s="4" t="str">
        <x:v>compound 10</x:v>
      </x:c>
      <x:c r="B250" s="4" t="str">
        <x:v>2-methoxy-4,5-(methylenedioxy)propiophenone</x:v>
      </x:c>
      <x:c r="C250" s="4" t="str">
        <x:v>苯丙素类（甲氧基丙酰苯）</x:v>
      </x:c>
      <x:c r="D250" s="4" t="str">
        <x:v>化学合成</x:v>
      </x:c>
      <x:c r="E250" s="4" t="str">
        <x:v>kakuol经MeI/K₂CO₃在丙酮中甲基化</x:v>
      </x:c>
      <x:c r="F250" s="4" t="str">
        <x:v>Phytophthora infestans</x:v>
      </x:c>
      <x:c r="G250" s="4" t="str">
        <x:v>菌丝生长抑制</x:v>
      </x:c>
      <x:c r="H250" s="4" t="str">
        <x:v>62.5 μg/mL 抑制率25%；125 μg/mL 抑制率54%</x:v>
      </x:c>
      <x:c r="I250" s="4" t="str">
        <x:v>Euparen (tolylfluanide), Sideral (procymidone), tetraconazole</x:v>
      </x:c>
      <x:c r="J250" s="4" t="str">
        <x:v>未明确</x:v>
      </x:c>
      <x:c r="K250" s="4" t="str">
        <x:v>未进行</x:v>
      </x:c>
      <x:c r="L250" s="4" t="str"/>
      <x:c r="M250" s="4" t="str"/>
      <x:c r="N250" s="4" t="str"/>
      <x:c r="O250" s="4" t="str">
        <x:v>Musso et al., Synthesis and Antifungal Activity of 2-Hydroxy-4,5-methylenedioxyaryl Ketones as Analogues of Kakuol</x:v>
      </x:c>
      <x:c r="P250" s="4" t="str"/>
    </x:row>
    <x:row r="251" ht="54" customHeight="1">
      <x:c r="A251" s="4" t="str">
        <x:v>compound 10</x:v>
      </x:c>
      <x:c r="B251" s="4" t="str">
        <x:v>2-methoxy-4,5-(methylenedioxy)propiophenone</x:v>
      </x:c>
      <x:c r="C251" s="4" t="str">
        <x:v>苯丙素类（甲氧基丙酰苯）</x:v>
      </x:c>
      <x:c r="D251" s="4" t="str">
        <x:v>化学合成</x:v>
      </x:c>
      <x:c r="E251" s="4" t="str">
        <x:v>kakuol经MeI/K₂CO₃在丙酮中甲基化</x:v>
      </x:c>
      <x:c r="F251" s="4" t="str">
        <x:v>Pythium ultimum</x:v>
      </x:c>
      <x:c r="G251" s="4" t="str">
        <x:v>菌丝生长抑制</x:v>
      </x:c>
      <x:c r="H251" s="4" t="str">
        <x:v>62.5 μg/mL 抑制率29%；125 μg/mL 抑制率57%</x:v>
      </x:c>
      <x:c r="I251" s="4" t="str">
        <x:v>Euparen (tolylfluanide), Sideral (procymidone), tetraconazole</x:v>
      </x:c>
      <x:c r="J251" s="4" t="str">
        <x:v>未明确</x:v>
      </x:c>
      <x:c r="K251" s="4" t="str">
        <x:v>未进行</x:v>
      </x:c>
      <x:c r="L251" s="4" t="str"/>
      <x:c r="M251" s="4" t="str"/>
      <x:c r="N251" s="4" t="str"/>
      <x:c r="O251" s="4" t="str">
        <x:v>Musso et al., Synthesis and Antifungal Activity of 2-Hydroxy-4,5-methylenedioxyaryl Ketones as Analogues of Kakuol</x:v>
      </x:c>
      <x:c r="P251" s="4" t="str"/>
    </x:row>
    <x:row r="252" ht="54" customHeight="1">
      <x:c r="A252" s="4" t="str">
        <x:v>compound 8</x:v>
      </x:c>
      <x:c r="B252" s="4" t="str">
        <x:v>1-(6-hydroxy-2,3-dihydrobenzo[b][1,4]dioxin-7-yl)propan-1-one</x:v>
      </x:c>
      <x:c r="C252" s="4" t="str">
        <x:v>苯丙素类（乙撑二氧丙酰苯）</x:v>
      </x:c>
      <x:c r="D252" s="4" t="str">
        <x:v>化学合成</x:v>
      </x:c>
      <x:c r="E252" s="4" t="str">
        <x:v>由2,3-二氢-1,4-苯并二噁英-6-甲醛经Baeyer-Villiger氧化及水解得酚7，再与丙酰氯反应</x:v>
      </x:c>
      <x:c r="F252" s="4" t="str">
        <x:v>Phytophthora infestans</x:v>
      </x:c>
      <x:c r="G252" s="4" t="str">
        <x:v>菌丝生长抑制</x:v>
      </x:c>
      <x:c r="H252" s="4" t="str">
        <x:v>62.5 μg/mL 抑制率16%；125 μg/mL 抑制率27%</x:v>
      </x:c>
      <x:c r="I252" s="4" t="str">
        <x:v>Euparen (tolylfluanide), Sideral (procymidone), tetraconazole</x:v>
      </x:c>
      <x:c r="J252" s="4" t="str">
        <x:v>未明确</x:v>
      </x:c>
      <x:c r="K252" s="4" t="str">
        <x:v>未进行</x:v>
      </x:c>
      <x:c r="L252" s="4" t="str"/>
      <x:c r="M252" s="4" t="str"/>
      <x:c r="N252" s="4" t="str"/>
      <x:c r="O252" s="4" t="str">
        <x:v>Musso et al., Synthesis and Antifungal Activity of 2-Hydroxy-4,5-methylenedioxyaryl Ketones as Analogues of Kakuol</x:v>
      </x:c>
      <x:c r="P252" s="4" t="str"/>
    </x:row>
    <x:row r="253" ht="54" customHeight="1">
      <x:c r="A253" s="4" t="str">
        <x:v>compound 8</x:v>
      </x:c>
      <x:c r="B253" s="4" t="str">
        <x:v>1-(6-hydroxy-2,3-dihydrobenzo[b][1,4]dioxin-7-yl)propan-1-one</x:v>
      </x:c>
      <x:c r="C253" s="4" t="str">
        <x:v>苯丙素类（乙撑二氧丙酰苯）</x:v>
      </x:c>
      <x:c r="D253" s="4" t="str">
        <x:v>化学合成</x:v>
      </x:c>
      <x:c r="E253" s="4" t="str">
        <x:v>由2,3-二氢-1,4-苯并二噁英-6-甲醛经Baeyer-Villiger氧化及水解得酚7，再与丙酰氯反应</x:v>
      </x:c>
      <x:c r="F253" s="4" t="str">
        <x:v>Pythium ultimum</x:v>
      </x:c>
      <x:c r="G253" s="4" t="str">
        <x:v>菌丝生长抑制</x:v>
      </x:c>
      <x:c r="H253" s="4" t="str">
        <x:v>62.5 μg/mL 抑制率45%；125 μg/mL 抑制率44%</x:v>
      </x:c>
      <x:c r="I253" s="4" t="str">
        <x:v>Euparen (tolylfluanide), Sideral (procymidone), tetraconazole</x:v>
      </x:c>
      <x:c r="J253" s="4" t="str">
        <x:v>未明确</x:v>
      </x:c>
      <x:c r="K253" s="4" t="str">
        <x:v>未进行</x:v>
      </x:c>
      <x:c r="L253" s="4" t="str"/>
      <x:c r="M253" s="4" t="str"/>
      <x:c r="N253" s="4" t="str"/>
      <x:c r="O253" s="4" t="str">
        <x:v>Musso et al., Synthesis and Antifungal Activity of 2-Hydroxy-4,5-methylenedioxyaryl Ketones as Analogues of Kakuol</x:v>
      </x:c>
      <x:c r="P253" s="4" t="str"/>
    </x:row>
    <x:row r="254" ht="54" customHeight="1">
      <x:c r="A254" s="4" t="str">
        <x:v>compound 4</x:v>
      </x:c>
      <x:c r="B254" s="4" t="str">
        <x:v>4,5-dimethoxypropiophenone</x:v>
      </x:c>
      <x:c r="C254" s="4" t="str">
        <x:v>苯丙素类（二甲氧基丙酰苯）</x:v>
      </x:c>
      <x:c r="D254" s="4" t="str">
        <x:v>化学合成</x:v>
      </x:c>
      <x:c r="E254" s="4" t="str">
        <x:v>由3,4-二甲氧基苯酚与丙酸酐/BF₃·Et₂O反应</x:v>
      </x:c>
      <x:c r="F254" s="4" t="str">
        <x:v>Phytophthora infestans</x:v>
      </x:c>
      <x:c r="G254" s="4" t="str">
        <x:v>菌丝生长抑制</x:v>
      </x:c>
      <x:c r="H254" s="4" t="str">
        <x:v>62.5 μg/mL 抑制率24%；125 μg/mL 抑制率30%</x:v>
      </x:c>
      <x:c r="I254" s="4" t="str">
        <x:v>Euparen (tolylfluanide), Sideral (procymidone), tetraconazole</x:v>
      </x:c>
      <x:c r="J254" s="4" t="str">
        <x:v>未明确</x:v>
      </x:c>
      <x:c r="K254" s="4" t="str">
        <x:v>未进行</x:v>
      </x:c>
      <x:c r="L254" s="4" t="str"/>
      <x:c r="M254" s="4" t="str"/>
      <x:c r="N254" s="4" t="str"/>
      <x:c r="O254" s="4" t="str">
        <x:v>Musso et al., Synthesis and Antifungal Activity of 2-Hydroxy-4,5-methylenedioxyaryl Ketones as Analogues of Kakuol</x:v>
      </x:c>
      <x:c r="P254" s="4" t="str"/>
    </x:row>
    <x:row r="255" ht="54" customHeight="1">
      <x:c r="A255" s="4" t="str">
        <x:v>compound 4</x:v>
      </x:c>
      <x:c r="B255" s="4" t="str">
        <x:v>4,5-dimethoxypropiophenone</x:v>
      </x:c>
      <x:c r="C255" s="4" t="str">
        <x:v>苯丙素类（二甲氧基丙酰苯）</x:v>
      </x:c>
      <x:c r="D255" s="4" t="str">
        <x:v>化学合成</x:v>
      </x:c>
      <x:c r="E255" s="4" t="str">
        <x:v>由3,4-二甲氧基苯酚与丙酸酐/BF₃·Et₂O反应</x:v>
      </x:c>
      <x:c r="F255" s="4" t="str">
        <x:v>Pythium ultimum</x:v>
      </x:c>
      <x:c r="G255" s="4" t="str">
        <x:v>菌丝生长抑制</x:v>
      </x:c>
      <x:c r="H255" s="4" t="str">
        <x:v>62.5 μg/mL 抑制率20%；125 μg/mL 抑制率26%</x:v>
      </x:c>
      <x:c r="I255" s="4" t="str">
        <x:v>Euparen (tolylfluanide), Sideral (procymidone), tetraconazole</x:v>
      </x:c>
      <x:c r="J255" s="4" t="str">
        <x:v>未明确</x:v>
      </x:c>
      <x:c r="K255" s="4" t="str">
        <x:v>未进行</x:v>
      </x:c>
      <x:c r="L255" s="4" t="str"/>
      <x:c r="M255" s="4" t="str"/>
      <x:c r="N255" s="4" t="str"/>
      <x:c r="O255" s="4" t="str">
        <x:v>Musso et al., Synthesis and Antifungal Activity of 2-Hydroxy-4,5-methylenedioxyaryl Ketones as Analogues of Kakuol</x:v>
      </x:c>
      <x:c r="P255" s="4" t="str"/>
    </x:row>
    <x:row r="256" ht="54" customHeight="1">
      <x:c r="A256" s="4" t="str">
        <x:v>compound 11</x:v>
      </x:c>
      <x:c r="B256" s="4" t="str">
        <x:v>(E)-1-(2-hydroxy-4,5-methylenedioxyphenyl)propan-1-one oxime</x:v>
      </x:c>
      <x:c r="C256" s="4" t="str">
        <x:v>苯丙素类（肟衍生物）</x:v>
      </x:c>
      <x:c r="D256" s="4" t="str">
        <x:v>化学合成</x:v>
      </x:c>
      <x:c r="E256" s="4" t="str">
        <x:v>kakuol与盐酸羟胺/醋酸钠在甲醇中回流</x:v>
      </x:c>
      <x:c r="F256" s="4" t="str">
        <x:v>Phytophthora infestans</x:v>
      </x:c>
      <x:c r="G256" s="4" t="str">
        <x:v>菌丝生长抑制</x:v>
      </x:c>
      <x:c r="H256" s="4" t="str">
        <x:v>62.5 μg/mL 抑制率41%；125 μg/mL 抑制率59%</x:v>
      </x:c>
      <x:c r="I256" s="4" t="str">
        <x:v>Euparen (tolylfluanide), Sideral (procymidone), tetraconazole</x:v>
      </x:c>
      <x:c r="J256" s="4" t="str">
        <x:v>未明确</x:v>
      </x:c>
      <x:c r="K256" s="4" t="str">
        <x:v>未进行</x:v>
      </x:c>
      <x:c r="L256" s="4" t="str"/>
      <x:c r="M256" s="4" t="str"/>
      <x:c r="N256" s="4" t="str"/>
      <x:c r="O256" s="4" t="str">
        <x:v>Musso et al., Synthesis and Antifungal Activity of 2-Hydroxy-4,5-methylenedioxyaryl Ketones as Analogues of Kakuol</x:v>
      </x:c>
      <x:c r="P256" s="4" t="str"/>
    </x:row>
    <x:row r="257" ht="54" customHeight="1">
      <x:c r="A257" s="4" t="str">
        <x:v>compound 11</x:v>
      </x:c>
      <x:c r="B257" s="4" t="str">
        <x:v>(E)-1-(2-hydroxy-4,5-methylenedioxyphenyl)propan-1-one oxime</x:v>
      </x:c>
      <x:c r="C257" s="4" t="str">
        <x:v>苯丙素类（肟衍生物）</x:v>
      </x:c>
      <x:c r="D257" s="4" t="str">
        <x:v>化学合成</x:v>
      </x:c>
      <x:c r="E257" s="4" t="str">
        <x:v>kakuol与盐酸羟胺/醋酸钠在甲醇中回流</x:v>
      </x:c>
      <x:c r="F257" s="4" t="str">
        <x:v>Pythium ultimum</x:v>
      </x:c>
      <x:c r="G257" s="4" t="str">
        <x:v>菌丝生长抑制</x:v>
      </x:c>
      <x:c r="H257" s="4" t="str">
        <x:v>62.5 μg/mL 抑制率79%；125 μg/mL 抑制率87%</x:v>
      </x:c>
      <x:c r="I257" s="4" t="str">
        <x:v>Euparen (tolylfluanide), Sideral (procymidone), tetraconazole</x:v>
      </x:c>
      <x:c r="J257" s="4" t="str">
        <x:v>未明确</x:v>
      </x:c>
      <x:c r="K257" s="4" t="str">
        <x:v>未进行</x:v>
      </x:c>
      <x:c r="L257" s="4" t="str"/>
      <x:c r="M257" s="4" t="str"/>
      <x:c r="N257" s="4" t="str"/>
      <x:c r="O257" s="4" t="str">
        <x:v>Musso et al., Synthesis and Antifungal Activity of 2-Hydroxy-4,5-methylenedioxyaryl Ketones as Analogues of Kakuol</x:v>
      </x:c>
      <x:c r="P257" s="4" t="str"/>
    </x:row>
    <x:row r="258" ht="54" customHeight="1">
      <x:c r="A258" s="4" t="str">
        <x:v>compound 12</x:v>
      </x:c>
      <x:c r="B258" s="4" t="str">
        <x:v>1-(2-hydroxy-4,5-methylenedioxyphenyl)propane-1-thione</x:v>
      </x:c>
      <x:c r="C258" s="4" t="str">
        <x:v>苯丙素类（硫代酮）</x:v>
      </x:c>
      <x:c r="D258" s="4" t="str">
        <x:v>化学合成</x:v>
      </x:c>
      <x:c r="E258" s="4" t="str">
        <x:v>kakuol与Lawesson试剂在甲苯中回流</x:v>
      </x:c>
      <x:c r="F258" s="4" t="str">
        <x:v>Phytophthora infestans</x:v>
      </x:c>
      <x:c r="G258" s="4" t="str">
        <x:v>菌丝生长抑制</x:v>
      </x:c>
      <x:c r="H258" s="4" t="str">
        <x:v>100 μg/mL 抑制率42%</x:v>
      </x:c>
      <x:c r="I258" s="4" t="str">
        <x:v>Euparen (tolylfluanide), Sideral (procymidone), tetraconazole</x:v>
      </x:c>
      <x:c r="J258" s="4" t="str">
        <x:v>未明确</x:v>
      </x:c>
      <x:c r="K258" s="4" t="str">
        <x:v>未进行</x:v>
      </x:c>
      <x:c r="L258" s="4" t="str"/>
      <x:c r="M258" s="4" t="str"/>
      <x:c r="N258" s="4" t="str"/>
      <x:c r="O258" s="4" t="str">
        <x:v>Musso et al., Synthesis and Antifungal Activity of 2-Hydroxy-4,5-methylenedioxyaryl Ketones as Analogues of Kakuol</x:v>
      </x:c>
      <x:c r="P258" s="4" t="str"/>
    </x:row>
    <x:row r="259" ht="54" customHeight="1">
      <x:c r="A259" s="4" t="str">
        <x:v>compound 12</x:v>
      </x:c>
      <x:c r="B259" s="4" t="str">
        <x:v>1-(2-hydroxy-4,5-methylenedioxyphenyl)propane-1-thione</x:v>
      </x:c>
      <x:c r="C259" s="4" t="str">
        <x:v>苯丙素类（硫代酮）</x:v>
      </x:c>
      <x:c r="D259" s="4" t="str">
        <x:v>化学合成</x:v>
      </x:c>
      <x:c r="E259" s="4" t="str">
        <x:v>kakuol与Lawesson试剂在甲苯中回流</x:v>
      </x:c>
      <x:c r="F259" s="4" t="str">
        <x:v>Pythium ultimum</x:v>
      </x:c>
      <x:c r="G259" s="4" t="str">
        <x:v>菌丝生长抑制</x:v>
      </x:c>
      <x:c r="H259" s="4" t="str">
        <x:v>100 μg/mL 抑制率56%</x:v>
      </x:c>
      <x:c r="I259" s="4" t="str">
        <x:v>Euparen (tolylfluanide), Sideral (procymidone), tetraconazole</x:v>
      </x:c>
      <x:c r="J259" s="4" t="str">
        <x:v>未明确</x:v>
      </x:c>
      <x:c r="K259" s="4" t="str">
        <x:v>未进行</x:v>
      </x:c>
      <x:c r="L259" s="4" t="str"/>
      <x:c r="M259" s="4" t="str"/>
      <x:c r="N259" s="4" t="str"/>
      <x:c r="O259" s="4" t="str">
        <x:v>Musso et al., Synthesis and Antifungal Activity of 2-Hydroxy-4,5-methylenedioxyaryl Ketones as Analogues of Kakuol</x:v>
      </x:c>
      <x:c r="P259" s="4" t="str"/>
    </x:row>
    <x:row r="260" ht="54" customHeight="1">
      <x:c r="A260" s="4" t="str">
        <x:v>compound 5b</x:v>
      </x:c>
      <x:c r="B260" s="4" t="str">
        <x:v>1-(2-hydroxy-4,5-methylenedioxyphenyl)-2-methylpropan-1-one</x:v>
      </x:c>
      <x:c r="C260" s="4" t="str">
        <x:v>苯丙素类（α-甲基丙酰苯）</x:v>
      </x:c>
      <x:c r="D260" s="4" t="str">
        <x:v>化学合成</x:v>
      </x:c>
      <x:c r="E260" s="4" t="str">
        <x:v>由3,4-(亚甲二氧基)酚镁盐与异丁酰氯反应制得</x:v>
      </x:c>
      <x:c r="F260" s="4" t="str">
        <x:v>Phytophthora infestans</x:v>
      </x:c>
      <x:c r="G260" s="4" t="str">
        <x:v>菌丝生长抑制</x:v>
      </x:c>
      <x:c r="H260" s="4" t="str">
        <x:v>62.5 μg/mL 抑制率100%；125 μg/mL 抑制率100%</x:v>
      </x:c>
      <x:c r="I260" s="4" t="str">
        <x:v>Euparen (tolylfluanide), Sideral (procymidone), tetraconazole</x:v>
      </x:c>
      <x:c r="J260" s="4" t="str">
        <x:v>未明确</x:v>
      </x:c>
      <x:c r="K260" s="4" t="str">
        <x:v>未进行</x:v>
      </x:c>
      <x:c r="L260" s="4" t="str"/>
      <x:c r="M260" s="4" t="str"/>
      <x:c r="N260" s="4" t="str"/>
      <x:c r="O260" s="4" t="str">
        <x:v>Musso et al., Synthesis and Antifungal Activity of 2-Hydroxy-4,5-methylenedioxyaryl Ketones as Analogues of Kakuol</x:v>
      </x:c>
      <x:c r="P260" s="4" t="str"/>
    </x:row>
    <x:row r="261" ht="54" customHeight="1">
      <x:c r="A261" s="4" t="str">
        <x:v>compound 5b</x:v>
      </x:c>
      <x:c r="B261" s="4" t="str">
        <x:v>1-(2-hydroxy-4,5-methylenedioxyphenyl)-2-methylpropan-1-one</x:v>
      </x:c>
      <x:c r="C261" s="4" t="str">
        <x:v>苯丙素类（α-甲基丙酰苯）</x:v>
      </x:c>
      <x:c r="D261" s="4" t="str">
        <x:v>化学合成</x:v>
      </x:c>
      <x:c r="E261" s="4" t="str">
        <x:v>由3,4-(亚甲二氧基)酚镁盐与异丁酰氯反应制得</x:v>
      </x:c>
      <x:c r="F261" s="4" t="str">
        <x:v>Pythium ultimum</x:v>
      </x:c>
      <x:c r="G261" s="4" t="str">
        <x:v>菌丝生长抑制</x:v>
      </x:c>
      <x:c r="H261" s="4" t="str">
        <x:v>62.5 μg/mL 抑制率100%；125 μg/mL 抑制率100%</x:v>
      </x:c>
      <x:c r="I261" s="4" t="str">
        <x:v>Euparen (tolylfluanide), Sideral (procymidone), tetraconazole</x:v>
      </x:c>
      <x:c r="J261" s="4" t="str">
        <x:v>未明确</x:v>
      </x:c>
      <x:c r="K261" s="4" t="str">
        <x:v>未进行</x:v>
      </x:c>
      <x:c r="L261" s="4" t="str"/>
      <x:c r="M261" s="4" t="str"/>
      <x:c r="N261" s="4" t="str"/>
      <x:c r="O261" s="4" t="str">
        <x:v>Musso et al., Synthesis and Antifungal Activity of 2-Hydroxy-4,5-methylenedioxyaryl Ketones as Analogues of Kakuol</x:v>
      </x:c>
      <x:c r="P261" s="4" t="str"/>
    </x:row>
    <x:row r="262" ht="54" customHeight="1">
      <x:c r="A262" s="4" t="str">
        <x:v>compound 5c</x:v>
      </x:c>
      <x:c r="B262" s="4" t="str">
        <x:v>1-(2-hydroxy-4,5-methylenedioxyphenyl)-2,2-dimethylpropan-1-one</x:v>
      </x:c>
      <x:c r="C262" s="4" t="str">
        <x:v>苯丙素类（α,α-二甲基丙酰苯）</x:v>
      </x:c>
      <x:c r="D262" s="4" t="str">
        <x:v>化学合成</x:v>
      </x:c>
      <x:c r="E262" s="4" t="str">
        <x:v>由3,4-(亚甲二氧基)酚镁盐与三甲基乙酰氯反应制得</x:v>
      </x:c>
      <x:c r="F262" s="4" t="str">
        <x:v>Phytophthora infestans</x:v>
      </x:c>
      <x:c r="G262" s="4" t="str">
        <x:v>菌丝生长抑制</x:v>
      </x:c>
      <x:c r="H262" s="4" t="str">
        <x:v>62.5 μg/mL 抑制率14%；125 μg/mL 抑制率19%</x:v>
      </x:c>
      <x:c r="I262" s="4" t="str">
        <x:v>Euparen (tolylfluanide), Sideral (procymidone), tetraconazole</x:v>
      </x:c>
      <x:c r="J262" s="4" t="str">
        <x:v>未明确</x:v>
      </x:c>
      <x:c r="K262" s="4" t="str">
        <x:v>未进行</x:v>
      </x:c>
      <x:c r="L262" s="4" t="str"/>
      <x:c r="M262" s="4" t="str"/>
      <x:c r="N262" s="4" t="str"/>
      <x:c r="O262" s="4" t="str">
        <x:v>Musso et al., Synthesis and Antifungal Activity of 2-Hydroxy-4,5-methylenedioxyaryl Ketones as Analogues of Kakuol</x:v>
      </x:c>
      <x:c r="P262" s="4" t="str"/>
    </x:row>
    <x:row r="263" ht="54" customHeight="1">
      <x:c r="A263" s="4" t="str">
        <x:v>compound 5c</x:v>
      </x:c>
      <x:c r="B263" s="4" t="str">
        <x:v>1-(2-hydroxy-4,5-methylenedioxyphenyl)-2,2-dimethylpropan-1-one</x:v>
      </x:c>
      <x:c r="C263" s="4" t="str">
        <x:v>苯丙素类（α,α-二甲基丙酰苯）</x:v>
      </x:c>
      <x:c r="D263" s="4" t="str">
        <x:v>化学合成</x:v>
      </x:c>
      <x:c r="E263" s="4" t="str">
        <x:v>由3,4-(亚甲二氧基)酚镁盐与三甲基乙酰氯反应制得</x:v>
      </x:c>
      <x:c r="F263" s="4" t="str">
        <x:v>Pythium ultimum</x:v>
      </x:c>
      <x:c r="G263" s="4" t="str">
        <x:v>菌丝生长抑制</x:v>
      </x:c>
      <x:c r="H263" s="4" t="str">
        <x:v>62.5 μg/mL 抑制率15%；125 μg/mL 抑制率19%</x:v>
      </x:c>
      <x:c r="I263" s="4" t="str">
        <x:v>Euparen (tolylfluanide), Sideral (procymidone), tetraconazole</x:v>
      </x:c>
      <x:c r="J263" s="4" t="str">
        <x:v>未明确</x:v>
      </x:c>
      <x:c r="K263" s="4" t="str">
        <x:v>未进行</x:v>
      </x:c>
      <x:c r="L263" s="4" t="str"/>
      <x:c r="M263" s="4" t="str"/>
      <x:c r="N263" s="4" t="str"/>
      <x:c r="O263" s="4" t="str">
        <x:v>Musso et al., Synthesis and Antifungal Activity of 2-Hydroxy-4,5-methylenedioxyaryl Ketones as Analogues of Kakuol</x:v>
      </x:c>
      <x:c r="P263" s="4" t="str"/>
    </x:row>
    <x:row r="264" ht="54" customHeight="1">
      <x:c r="A264" s="4" t="str">
        <x:v>compound 5e</x:v>
      </x:c>
      <x:c r="B264" s="4" t="str">
        <x:v>(E)-1-(2-hydroxy-4,5-methylenedioxyphenyl)pent-1-en-1-one</x:v>
      </x:c>
      <x:c r="C264" s="4" t="str">
        <x:v>苯丙素类（β-取代α,β-不饱和酮）</x:v>
      </x:c>
      <x:c r="D264" s="4" t="str">
        <x:v>化学合成</x:v>
      </x:c>
      <x:c r="E264" s="4" t="str">
        <x:v>由3,4-(亚甲二氧基)酚镁盐与戊烯酰氯反应制得</x:v>
      </x:c>
      <x:c r="F264" s="4" t="str">
        <x:v>Phytophthora infestans</x:v>
      </x:c>
      <x:c r="G264" s="4" t="str">
        <x:v>菌丝生长抑制</x:v>
      </x:c>
      <x:c r="H264" s="4" t="str">
        <x:v>62.5 μg/mL 抑制率31%；125 μg/mL 抑制率31%</x:v>
      </x:c>
      <x:c r="I264" s="4" t="str">
        <x:v>Euparen (tolylfluanide), Sideral (procymidone), tetraconazole</x:v>
      </x:c>
      <x:c r="J264" s="4" t="str">
        <x:v>未明确</x:v>
      </x:c>
      <x:c r="K264" s="4" t="str">
        <x:v>未进行</x:v>
      </x:c>
      <x:c r="L264" s="4" t="str"/>
      <x:c r="M264" s="4" t="str"/>
      <x:c r="N264" s="4" t="str"/>
      <x:c r="O264" s="4" t="str">
        <x:v>Musso et al., Synthesis and Antifungal Activity of 2-Hydroxy-4,5-methylenedioxyaryl Ketones as Analogues of Kakuol</x:v>
      </x:c>
      <x:c r="P264" s="4" t="str"/>
    </x:row>
    <x:row r="265" ht="54" customHeight="1">
      <x:c r="A265" s="4" t="str">
        <x:v>compound 5e</x:v>
      </x:c>
      <x:c r="B265" s="4" t="str">
        <x:v>(E)-1-(2-hydroxy-4,5-methylenedioxyphenyl)pent-1-en-1-one</x:v>
      </x:c>
      <x:c r="C265" s="4" t="str">
        <x:v>苯丙素类（β-取代α,β-不饱和酮）</x:v>
      </x:c>
      <x:c r="D265" s="4" t="str">
        <x:v>化学合成</x:v>
      </x:c>
      <x:c r="E265" s="4" t="str">
        <x:v>由3,4-(亚甲二氧基)酚镁盐与戊烯酰氯反应制得</x:v>
      </x:c>
      <x:c r="F265" s="4" t="str">
        <x:v>Pythium ultimum</x:v>
      </x:c>
      <x:c r="G265" s="4" t="str">
        <x:v>菌丝生长抑制</x:v>
      </x:c>
      <x:c r="H265" s="4" t="str">
        <x:v>62.5 μg/mL 抑制率27%；125 μg/mL 抑制率48%</x:v>
      </x:c>
      <x:c r="I265" s="4" t="str">
        <x:v>Euparen (tolylfluanide), Sideral (procymidone), tetraconazole</x:v>
      </x:c>
      <x:c r="J265" s="4" t="str">
        <x:v>未明确</x:v>
      </x:c>
      <x:c r="K265" s="4" t="str">
        <x:v>未进行</x:v>
      </x:c>
      <x:c r="L265" s="4" t="str"/>
      <x:c r="M265" s="4" t="str"/>
      <x:c r="N265" s="4" t="str"/>
      <x:c r="O265" s="4" t="str">
        <x:v>Musso et al., Synthesis and Antifungal Activity of 2-Hydroxy-4,5-methylenedioxyaryl Ketones as Analogues of Kakuol</x:v>
      </x:c>
      <x:c r="P265" s="4" t="str"/>
    </x:row>
    <x:row r="266" ht="54" customHeight="1">
      <x:c r="A266" s="4" t="str">
        <x:v>compound 5f</x:v>
      </x:c>
      <x:c r="B266" s="4" t="str">
        <x:v>1-(2-hydroxy-4,5-methylenedioxyphenyl)cyclopropan-1-one</x:v>
      </x:c>
      <x:c r="C266" s="4" t="str">
        <x:v>苯丙素类（环丙基酮）</x:v>
      </x:c>
      <x:c r="D266" s="4" t="str">
        <x:v>化学合成</x:v>
      </x:c>
      <x:c r="E266" s="4" t="str">
        <x:v>由3,4-(亚甲二氧基)酚镁盐与环丙烷甲酰氯反应制得</x:v>
      </x:c>
      <x:c r="F266" s="4" t="str">
        <x:v>Phytophthora infestans</x:v>
      </x:c>
      <x:c r="G266" s="4" t="str">
        <x:v>菌丝生长抑制</x:v>
      </x:c>
      <x:c r="H266" s="4" t="str">
        <x:v>62.5 μg/mL 抑制率45%；125 μg/mL 抑制率65%</x:v>
      </x:c>
      <x:c r="I266" s="4" t="str">
        <x:v>Euparen (tolylfluanide), Sideral (procymidone), tetraconazole</x:v>
      </x:c>
      <x:c r="J266" s="4" t="str">
        <x:v>未明确</x:v>
      </x:c>
      <x:c r="K266" s="4" t="str">
        <x:v>未进行</x:v>
      </x:c>
      <x:c r="L266" s="4" t="str"/>
      <x:c r="M266" s="4" t="str"/>
      <x:c r="N266" s="4" t="str"/>
      <x:c r="O266" s="4" t="str">
        <x:v>Musso et al., Synthesis and Antifungal Activity of 2-Hydroxy-4,5-methylenedioxyaryl Ketones as Analogues of Kakuol</x:v>
      </x:c>
      <x:c r="P266" s="4" t="str"/>
    </x:row>
    <x:row r="267" ht="54" customHeight="1">
      <x:c r="A267" s="4" t="str">
        <x:v>compound 5f</x:v>
      </x:c>
      <x:c r="B267" s="4" t="str">
        <x:v>1-(2-hydroxy-4,5-methylenedioxyphenyl)cyclopropan-1-one</x:v>
      </x:c>
      <x:c r="C267" s="4" t="str">
        <x:v>苯丙素类（环丙基酮）</x:v>
      </x:c>
      <x:c r="D267" s="4" t="str">
        <x:v>化学合成</x:v>
      </x:c>
      <x:c r="E267" s="4" t="str">
        <x:v>由3,4-(亚甲二氧基)酚镁盐与环丙烷甲酰氯反应制得</x:v>
      </x:c>
      <x:c r="F267" s="4" t="str">
        <x:v>Pythium ultimum</x:v>
      </x:c>
      <x:c r="G267" s="4" t="str">
        <x:v>菌丝生长抑制</x:v>
      </x:c>
      <x:c r="H267" s="4" t="str">
        <x:v>62.5 μg/mL 抑制率60%；125 μg/mL 抑制率85%</x:v>
      </x:c>
      <x:c r="I267" s="4" t="str">
        <x:v>Euparen (tolylfluanide), Sideral (procymidone), tetraconazole</x:v>
      </x:c>
      <x:c r="J267" s="4" t="str">
        <x:v>未明确</x:v>
      </x:c>
      <x:c r="K267" s="4" t="str">
        <x:v>未进行</x:v>
      </x:c>
      <x:c r="L267" s="4" t="str"/>
      <x:c r="M267" s="4" t="str"/>
      <x:c r="N267" s="4" t="str"/>
      <x:c r="O267" s="4" t="str">
        <x:v>Musso et al., Synthesis and Antifungal Activity of 2-Hydroxy-4,5-methylenedioxyaryl Ketones as Analogues of Kakuol</x:v>
      </x:c>
      <x:c r="P267" s="4" t="str"/>
    </x:row>
    <x:row r="268" ht="54" customHeight="1">
      <x:c r="A268" s="4" t="str">
        <x:v>compound 5g</x:v>
      </x:c>
      <x:c r="B268" s="4" t="str">
        <x:v>1-(2-hydroxy-4,5-methylenedioxyphenyl)hexan-1-one</x:v>
      </x:c>
      <x:c r="C268" s="4" t="str">
        <x:v>苯丙素类（长链烷基酮）</x:v>
      </x:c>
      <x:c r="D268" s="4" t="str">
        <x:v>化学合成</x:v>
      </x:c>
      <x:c r="E268" s="4" t="str">
        <x:v>由3,4-(亚甲二氧基)酚镁盐与己酰氯反应制得</x:v>
      </x:c>
      <x:c r="F268" s="4" t="str">
        <x:v>Phytophthora infestans</x:v>
      </x:c>
      <x:c r="G268" s="4" t="str">
        <x:v>菌丝生长抑制</x:v>
      </x:c>
      <x:c r="H268" s="4" t="str">
        <x:v>62.5 μg/mL 抑制率40%；125 μg/mL 抑制率47%</x:v>
      </x:c>
      <x:c r="I268" s="4" t="str">
        <x:v>Euparen (tolylfluanide), Sideral (procymidone), tetraconazole</x:v>
      </x:c>
      <x:c r="J268" s="4" t="str">
        <x:v>未明确</x:v>
      </x:c>
      <x:c r="K268" s="4" t="str">
        <x:v>未进行</x:v>
      </x:c>
      <x:c r="L268" s="4" t="str"/>
      <x:c r="M268" s="4" t="str"/>
      <x:c r="N268" s="4" t="str"/>
      <x:c r="O268" s="4" t="str">
        <x:v>Musso et al., Synthesis and Antifungal Activity of 2-Hydroxy-4,5-methylenedioxyaryl Ketones as Analogues of Kakuol</x:v>
      </x:c>
      <x:c r="P268" s="4" t="str"/>
    </x:row>
    <x:row r="269" ht="54" customHeight="1">
      <x:c r="A269" s="4" t="str">
        <x:v>compound 5g</x:v>
      </x:c>
      <x:c r="B269" s="4" t="str">
        <x:v>1-(2-hydroxy-4,5-methylenedioxyphenyl)hexan-1-one</x:v>
      </x:c>
      <x:c r="C269" s="4" t="str">
        <x:v>苯丙素类（长链烷基酮）</x:v>
      </x:c>
      <x:c r="D269" s="4" t="str">
        <x:v>化学合成</x:v>
      </x:c>
      <x:c r="E269" s="4" t="str">
        <x:v>由3,4-(亚甲二氧基)酚镁盐与己酰氯反应制得</x:v>
      </x:c>
      <x:c r="F269" s="4" t="str">
        <x:v>Pythium ultimum</x:v>
      </x:c>
      <x:c r="G269" s="4" t="str">
        <x:v>菌丝生长抑制</x:v>
      </x:c>
      <x:c r="H269" s="4" t="str">
        <x:v>62.5 μg/mL 抑制率77%；125 μg/mL 抑制率80%</x:v>
      </x:c>
      <x:c r="I269" s="4" t="str">
        <x:v>Euparen (tolylfluanide), Sideral (procymidone), tetraconazole</x:v>
      </x:c>
      <x:c r="J269" s="4" t="str">
        <x:v>未明确</x:v>
      </x:c>
      <x:c r="K269" s="4" t="str">
        <x:v>未进行</x:v>
      </x:c>
      <x:c r="L269" s="4" t="str"/>
      <x:c r="M269" s="4" t="str"/>
      <x:c r="N269" s="4" t="str"/>
      <x:c r="O269" s="4" t="str">
        <x:v>Musso et al., Synthesis and Antifungal Activity of 2-Hydroxy-4,5-methylenedioxyaryl Ketones as Analogues of Kakuol</x:v>
      </x:c>
      <x:c r="P269" s="4" t="str"/>
    </x:row>
    <x:row r="270" ht="54" customHeight="1">
      <x:c r="A270" s="4" t="str">
        <x:v>compound 5i</x:v>
      </x:c>
      <x:c r="B270" s="4" t="str">
        <x:v>1-(2-hydroxy-4,5-methylenedioxyphenyl)-1-phenylethan-1-one</x:v>
      </x:c>
      <x:c r="C270" s="4" t="str">
        <x:v>苯丙素类（芳基酮）</x:v>
      </x:c>
      <x:c r="D270" s="4" t="str">
        <x:v>化学合成</x:v>
      </x:c>
      <x:c r="E270" s="4" t="str">
        <x:v>由3,4-(亚甲二氧基)酚镁盐与苯甲酰氯反应制得</x:v>
      </x:c>
      <x:c r="F270" s="4" t="str">
        <x:v>Phytophthora infestans</x:v>
      </x:c>
      <x:c r="G270" s="4" t="str">
        <x:v>菌丝生长抑制</x:v>
      </x:c>
      <x:c r="H270" s="4" t="str">
        <x:v>62.5 μg/mL 抑制率3%；125 μg/mL 抑制率4%</x:v>
      </x:c>
      <x:c r="I270" s="4" t="str">
        <x:v>Euparen (tolylfluanide), Sideral (procymidone), tetraconazole</x:v>
      </x:c>
      <x:c r="J270" s="4" t="str">
        <x:v>未明确</x:v>
      </x:c>
      <x:c r="K270" s="4" t="str">
        <x:v>未进行</x:v>
      </x:c>
      <x:c r="L270" s="4" t="str"/>
      <x:c r="M270" s="4" t="str"/>
      <x:c r="N270" s="4" t="str"/>
      <x:c r="O270" s="4" t="str">
        <x:v>Musso et al., Synthesis and Antifungal Activity of 2-Hydroxy-4,5-methylenedioxyaryl Ketones as Analogues of Kakuol</x:v>
      </x:c>
      <x:c r="P270" s="4" t="str"/>
    </x:row>
    <x:row r="271" ht="54" customHeight="1">
      <x:c r="A271" s="4" t="str">
        <x:v>compound 5i</x:v>
      </x:c>
      <x:c r="B271" s="4" t="str">
        <x:v>1-(2-hydroxy-4,5-methylenedioxyphenyl)-1-phenylethan-1-one</x:v>
      </x:c>
      <x:c r="C271" s="4" t="str">
        <x:v>苯丙素类（芳基酮）</x:v>
      </x:c>
      <x:c r="D271" s="4" t="str">
        <x:v>化学合成</x:v>
      </x:c>
      <x:c r="E271" s="4" t="str">
        <x:v>由3,4-(亚甲二氧基)酚镁盐与苯甲酰氯反应制得</x:v>
      </x:c>
      <x:c r="F271" s="4" t="str">
        <x:v>Pythium ultimum</x:v>
      </x:c>
      <x:c r="G271" s="4" t="str">
        <x:v>菌丝生长抑制</x:v>
      </x:c>
      <x:c r="H271" s="4" t="str">
        <x:v>62.5 μg/mL 抑制率14%；125 μg/mL 抑制率24%</x:v>
      </x:c>
      <x:c r="I271" s="4" t="str">
        <x:v>Euparen (tolylfluanide), Sideral (procymidone), tetraconazole</x:v>
      </x:c>
      <x:c r="J271" s="4" t="str">
        <x:v>未明确</x:v>
      </x:c>
      <x:c r="K271" s="4" t="str">
        <x:v>未进行</x:v>
      </x:c>
      <x:c r="L271" s="4" t="str"/>
      <x:c r="M271" s="4" t="str"/>
      <x:c r="N271" s="4" t="str"/>
      <x:c r="O271" s="4" t="str">
        <x:v>Musso et al., Synthesis and Antifungal Activity of 2-Hydroxy-4,5-methylenedioxyaryl Ketones as Analogues of Kakuol</x:v>
      </x:c>
      <x:c r="P271" s="4" t="str"/>
    </x:row>
  </x:sheetData>
  <x:pageMargins left="0.7" right="0.7" top="0.75" bottom="0.75" header="0.3" footer="0.3"/>
  <x:tableParts count="1">
    <x:tablePart xmlns:r="http://schemas.openxmlformats.org/officeDocument/2006/relationships" r:id="Rab79fd051ac6479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1.25" hidden="0" customWidth="1"/>
    <x:col min="2" max="2" width="52.5" hidden="0" customWidth="1"/>
    <x:col min="3" max="3" width="3.5" hidden="0" customWidth="1"/>
    <x:col min="4" max="4" width="21.8799991607666" hidden="0" customWidth="1"/>
    <x:col min="5" max="5" width="15" hidden="0" customWidth="1"/>
    <x:col min="6" max="6" width="13.75" hidden="0" customWidth="1"/>
    <x:col min="7" max="7" width="13.75" hidden="0" customWidth="1"/>
    <x:col min="8" max="8" width="13.75" hidden="0" customWidth="1"/>
  </x:cols>
  <x:sheetData>
    <x:row r="1" ht="34.5" customHeight="1">
      <x:c r="A1" s="22" t="str">
        <x:v>100篇抑菌化合物文献运行概览</x:v>
      </x:c>
      <x:c r="B1" s="22"/>
      <x:c r="C1" s="22"/>
      <x:c r="D1" s="22"/>
      <x:c r="E1" s="22"/>
      <x:c r="F1" s="22"/>
      <x:c r="G1" s="22"/>
      <x:c r="H1" s="22"/>
    </x:row>
    <x:row r="3">
      <x:c r="A3" s="25" t="str">
        <x:v>实验ID</x:v>
      </x:c>
      <x:c r="B3" s="27" t="str">
        <x:v>efe44f92-8d28-4902-bf77-a15d3bf14ee8</x:v>
      </x:c>
      <x:c r="D3" s="31" t="str">
        <x:v>关键指标</x:v>
      </x:c>
      <x:c r="E3" s="31" t="str">
        <x:v>数值</x:v>
      </x:c>
    </x:row>
    <x:row r="4">
      <x:c r="A4" s="25" t="str">
        <x:v>源文献实验ID</x:v>
      </x:c>
      <x:c r="B4" s="27" t="str">
        <x:v>b6aec474-a84c-48f6-8717-531042f09143</x:v>
      </x:c>
      <x:c r="D4" s="37" t="str">
        <x:v>已跑文献</x:v>
      </x:c>
      <x:c r="E4" s="40" t="n">
        <x:f>COUNTA('100篇文献清单'!$B$2:$B$101)</x:f>
        <x:v>100</x:v>
      </x:c>
    </x:row>
    <x:row r="5">
      <x:c r="A5" s="25" t="str">
        <x:v>实验状态</x:v>
      </x:c>
      <x:c r="B5" s="27" t="str">
        <x:v>COMPLETED</x:v>
      </x:c>
      <x:c r="D5" s="37" t="str">
        <x:v>成功总结文献</x:v>
      </x:c>
      <x:c r="E5" s="40" t="n">
        <x:f>COUNTIF('100篇文献清单'!$H$2:$H$101,"SUMMARIZED")</x:f>
        <x:v>41</x:v>
      </x:c>
    </x:row>
    <x:row r="6">
      <x:c r="A6" s="25" t="str">
        <x:v>启动时间（北京时间）</x:v>
      </x:c>
      <x:c r="B6" s="27" t="str">
        <x:v>2026-06-05 16:32:55</x:v>
      </x:c>
      <x:c r="D6" s="37" t="str">
        <x:v>化合物记录</x:v>
      </x:c>
      <x:c r="E6" s="40" t="n">
        <x:f>COUNTA('化合物汇总'!$A$2:$A$271)</x:f>
        <x:v>270</x:v>
      </x:c>
    </x:row>
    <x:row r="7">
      <x:c r="A7" s="25" t="str">
        <x:v>完成时间（北京时间）</x:v>
      </x:c>
      <x:c r="B7" s="27" t="str">
        <x:v>2026-06-05 17:02:20</x:v>
      </x:c>
      <x:c r="D7" s="37" t="str">
        <x:v>成功总结率</x:v>
      </x:c>
      <x:c r="E7" s="41" t="n">
        <x:f>E5/E4</x:f>
        <x:v>0.41</x:v>
      </x:c>
    </x:row>
    <x:row r="8">
      <x:c r="A8" s="25" t="str">
        <x:v>统计口径</x:v>
      </x:c>
      <x:c r="B8" s="27" t="str">
        <x:v>100篇均进入处理流程；只有成功总结的文献生成化合物明细</x:v>
      </x:c>
    </x:row>
    <x:row r="10">
      <x:c r="A10" s="31" t="str">
        <x:v>运行状态</x:v>
      </x:c>
      <x:c r="B10" s="31" t="str">
        <x:v>文献数</x:v>
      </x:c>
    </x:row>
    <x:row r="11">
      <x:c r="A11" s="32" t="str">
        <x:v>SUMMARIZED</x:v>
      </x:c>
      <x:c r="B11" s="33" t="n">
        <x:f>COUNTIF('100篇文献清单'!$H$2:$H$101,A11)</x:f>
        <x:v>41</x:v>
      </x:c>
    </x:row>
    <x:row r="12">
      <x:c r="A12" s="32" t="str">
        <x:v>IRRELEVANT</x:v>
      </x:c>
      <x:c r="B12" s="33" t="n">
        <x:f>COUNTIF('100篇文献清单'!$H$2:$H$101,A12)</x:f>
        <x:v>45</x:v>
      </x:c>
    </x:row>
    <x:row r="13">
      <x:c r="A13" s="32" t="str">
        <x:v>NO_CHUNKS</x:v>
      </x:c>
      <x:c r="B13" s="33" t="n">
        <x:f>COUNTIF('100篇文献清单'!$H$2:$H$101,A13)</x:f>
        <x:v>7</x:v>
      </x:c>
    </x:row>
    <x:row r="14">
      <x:c r="A14" s="32" t="str">
        <x:v>FAILED</x:v>
      </x:c>
      <x:c r="B14" s="33" t="n">
        <x:f>COUNTIF('100篇文献清单'!$H$2:$H$101,A14)</x:f>
        <x:v>7</x:v>
      </x:c>
    </x:row>
    <x:row r="15">
      <x:c r="A15" s="32" t="str">
        <x:v>合计</x:v>
      </x:c>
      <x:c r="B15" s="33" t="n">
        <x:f>SUM(B11:B14)</x:f>
        <x:v>100</x:v>
      </x:c>
    </x:row>
    <x:row r="18" ht="28.5" customHeight="1">
      <x:c r="A18" s="47" t="str">
        <x:v>说明：41篇成功总结对应“化合物汇总”中的270条化合物记录；其余59篇未生成化合物表格。</x:v>
      </x:c>
      <x:c r="B18" s="48"/>
      <x:c r="C18" s="48"/>
      <x:c r="D18" s="48"/>
      <x:c r="E18" s="48"/>
      <x:c r="F18" s="48"/>
      <x:c r="G18" s="48"/>
      <x:c r="H18" s="49"/>
    </x:row>
  </x:sheetData>
  <x:mergeCells>
    <x:mergeCell ref="A1:H1"/>
    <x:mergeCell ref="A18:H18"/>
  </x:mergeCells>
  <x:pageMargins left="0.7" right="0.7" top="0.75" bottom="0.75" header="0.3" footer="0.3"/>
  <x:drawing xmlns:r="http://schemas.openxmlformats.org/officeDocument/2006/relationships" r:id="R70ee310e675f41c1"/>
</x:worksheet>
</file>

<file path=xl/worksheets/sheet3.xml><?xml version="1.0" encoding="utf-8"?>
<x:worksheet xmlns:x="http://schemas.openxmlformats.org/spreadsheetml/2006/main">
  <x:sheetViews>
    <x:sheetView showGridLines="0" workbookViewId="0"/>
  </x:sheetViews>
  <x:sheetFormatPr defaultRowHeight="15"/>
  <x:cols>
    <x:col min="1" max="1" width="6.5" hidden="0" customWidth="1"/>
    <x:col min="2" max="2" width="30.6299991607666" hidden="0" customWidth="1"/>
    <x:col min="3" max="3" width="45" hidden="0" customWidth="1"/>
    <x:col min="4" max="4" width="32.5" hidden="0" customWidth="1"/>
    <x:col min="5" max="5" width="8.130000114440918" hidden="0" customWidth="1"/>
    <x:col min="6" max="6" width="22.5" hidden="0" customWidth="1"/>
    <x:col min="7" max="7" width="22.5" hidden="0" customWidth="1"/>
    <x:col min="8" max="8" width="13.130000114440918" hidden="0" customWidth="1"/>
    <x:col min="9" max="9" width="13.130000114440918" hidden="0" customWidth="1"/>
    <x:col min="10" max="10" width="10.25" hidden="0" customWidth="1"/>
    <x:col min="11" max="11" width="10.25" hidden="0" customWidth="1"/>
    <x:col min="12" max="12" width="52.5" hidden="0" customWidth="1"/>
    <x:col min="13" max="13" width="48.75" hidden="0" customWidth="1"/>
    <x:col min="14" max="14" width="19.3799991607666" hidden="0" customWidth="1"/>
    <x:col min="15" max="15" width="19.3799991607666" hidden="0" customWidth="1"/>
  </x:cols>
  <x:sheetData>
    <x:row r="1" ht="31.5" customHeight="1">
      <x:c r="A1" s="15" t="str">
        <x:v>序号</x:v>
      </x:c>
      <x:c r="B1" s="15" t="str">
        <x:v>文献ID</x:v>
      </x:c>
      <x:c r="C1" s="15" t="str">
        <x:v>文献标题</x:v>
      </x:c>
      <x:c r="D1" s="15" t="str">
        <x:v>作者</x:v>
      </x:c>
      <x:c r="E1" s="15" t="str">
        <x:v>年份</x:v>
      </x:c>
      <x:c r="F1" s="15" t="str">
        <x:v>期刊</x:v>
      </x:c>
      <x:c r="G1" s="15" t="str">
        <x:v>DOI</x:v>
      </x:c>
      <x:c r="H1" s="15" t="str">
        <x:v>运行状态</x:v>
      </x:c>
      <x:c r="I1" s="15" t="str">
        <x:v>状态说明</x:v>
      </x:c>
      <x:c r="J1" s="15" t="str">
        <x:v>是否相关</x:v>
      </x:c>
      <x:c r="K1" s="15" t="str">
        <x:v>chunks数</x:v>
      </x:c>
      <x:c r="L1" s="15" t="str">
        <x:v>判定或错误说明</x:v>
      </x:c>
      <x:c r="M1" s="15" t="str">
        <x:v>总结文件路径</x:v>
      </x:c>
      <x:c r="N1" s="15" t="str">
        <x:v>开始时间（北京时间）</x:v>
      </x:c>
      <x:c r="O1" s="15" t="str">
        <x:v>完成时间（北京时间）</x:v>
      </x:c>
    </x:row>
    <x:row r="2" ht="40.5" customHeight="1">
      <x:c r="A2" s="19" t="n">
        <x:v>1</x:v>
      </x:c>
      <x:c r="B2" s="18" t="str">
        <x:v>667d3c3e-b021-4b46-becc-2c9207b6cef2</x:v>
      </x:c>
      <x:c r="C2" s="18" t="str">
        <x:v>Aphanomyces astaci presence in Japan: a threat to the endemic and endangered crayfish species Cambaroides japonicus?</x:v>
      </x:c>
      <x:c r="D2" s="18" t="str">
        <x:v>Agata Mrugała; Tadashi Kawai; Eva Kozubíková-Balcarová; Adam Petrusek; Faculty of Science Charles University Viničná 7 CZ-12844 Prague Prague Czech Republic</x:v>
      </x:c>
      <x:c r="E2" s="19"/>
      <x:c r="F2" s="18" t="str">
        <x:v>Aphanomyces astaci presence in Japan: a threat to the endemic and endangered crayfish species Cambaroides japonicus?</x:v>
      </x:c>
      <x:c r="G2" s="18" t="str">
        <x:v>10.1002/aqc.2674</x:v>
      </x:c>
      <x:c r="H2" s="19" t="str">
        <x:v>IRRELEVANT</x:v>
      </x:c>
      <x:c r="I2" s="19" t="str">
        <x:v>判定无关</x:v>
      </x:c>
      <x:c r="J2" s="19" t="str">
        <x:v>否</x:v>
      </x:c>
      <x:c r="K2" s="19" t="n">
        <x:v>15</x:v>
      </x:c>
      <x:c r="L2" s="18" t="str">
        <x:v>The paper focuses on detecting the oomycete Aphanomyces astaci in invasive crayfish populations in Japan and assessing its threat to native crayfish. It does not report or discuss any compounds, extracts, pesticides, or derivatives tested for activity against A. astaci or any other oomycete.</x:v>
      </x:c>
      <x:c r="M2" s="18" t="str"/>
      <x:c r="N2" s="19" t="str">
        <x:v>2026-06-05 16:32:55</x:v>
      </x:c>
      <x:c r="O2" s="19" t="str">
        <x:v>2026-06-05 16:32:58</x:v>
      </x:c>
    </x:row>
    <x:row r="3" ht="40.5" customHeight="1">
      <x:c r="A3" s="19" t="n">
        <x:v>2</x:v>
      </x:c>
      <x:c r="B3" s="18" t="str">
        <x:v>25c5fcd5-7b37-411f-a707-7ac895816228</x:v>
      </x:c>
      <x:c r="C3" s="18" t="str">
        <x:v>Procambarus clarkii (Girard, 1852) and crayfish plague as new threats for biodiversity in Indonesia</x:v>
      </x:c>
      <x:c r="D3" s="18" t="str">
        <x:v>Marfian Dwidima Putra; | Martin Bláha; Yusli Wardiatno; Majariana Krisanti; | Yonvitner; Rikho Jerikho; Mohammad Mukhlis Kamal; Michaela Mojžišová; Pavel Karel Bystřický; Antonín Kouba; | Lukáš Kalous; | Adam Petrusek; Jiří Patoka; Czech University of Life Sciences Prague Kamýcká 129 1 ORCID Martin Bláha http://orcid.org/0000-0003-3597-6604 Yusli Wardiatno http://orcid.org/0000-0002-3680-3169 Majariana Krisanti http://orcid.org/0000-0002-2330-9268 Yonvitner http://orcid.org/0000-0003-1161-4406 Mohammad Mukhlis Kamal http://orcid.org/0000-0001-9533-7025 Michaela Mojžišová http://orcid.org/0000-0002-0655-2661 Pavel Karel Bystřický http://orcid.org/0000-0002-2186-7573 Antonín Kouba http://orcid.org/0000-0001-8118-8612 Lukáš Kalous http://orcid.org/0000-0001-5518-1505 Adam Petrusek http://orcid.org/0000-0001-5150-4370 Jiří Patoka http://orcid.org 16500 0000-0002 2797-0563 Prague - Suchdol Czech Republic</x:v>
      </x:c>
      <x:c r="E3" s="19"/>
      <x:c r="F3" s="18" t="str">
        <x:v>Procambarus clarkii (Girard, 1852) and crayfish plague as new threats for biodiversity in Indonesia</x:v>
      </x:c>
      <x:c r="G3" s="18" t="str">
        <x:v>10.1002/aqc.2970</x:v>
      </x:c>
      <x:c r="H3" s="19" t="str">
        <x:v>IRRELEVANT</x:v>
      </x:c>
      <x:c r="I3" s="19" t="str">
        <x:v>判定无关</x:v>
      </x:c>
      <x:c r="J3" s="19" t="str">
        <x:v>否</x:v>
      </x:c>
      <x:c r="K3" s="19" t="n">
        <x:v>13</x:v>
      </x:c>
      <x:c r="L3" s="18" t="str">
        <x:v>The paper discusses the oomycete Aphanomyces astaci as a pathogen (crayfish plague) and tests for its presence in crayfish and other decapods, but it does not report or discuss any compound, extract, pesticide, or derivative tested for activity against this or any other oomycete.</x:v>
      </x:c>
      <x:c r="M3" s="18" t="str"/>
      <x:c r="N3" s="19" t="str">
        <x:v>2026-06-05 16:32:58</x:v>
      </x:c>
      <x:c r="O3" s="19" t="str">
        <x:v>2026-06-05 16:33:00</x:v>
      </x:c>
    </x:row>
    <x:row r="4" ht="40.5" customHeight="1">
      <x:c r="A4" s="19" t="n">
        <x:v>3</x:v>
      </x:c>
      <x:c r="B4" s="18" t="str">
        <x:v>91c3e76b-ae45-4d96-995c-96ba047b7d3e</x:v>
      </x:c>
      <x:c r="C4" s="18" t="str">
        <x:v>Enigmatic hotspot of crayfish diversity at risk: Invasive potential of non-indigenous crayfish if introduced to New Guinea</x:v>
      </x:c>
      <x:c r="D4" s="18" t="str">
        <x:v>Y Yonvitner; | Jiří Patoka; | Ernik Yuliana; Lucie Bohatá; Elena Tricarico; | Tomáš Karella; Antonín Kouba; Julian D Reynolds; Faculty of Agrobiology, Food and Natural Resources Czech University of Life Sciences Kamýcká 129 19-04431S 16500 Prague Prague-Suchdol Czech Republic; Ministry of Research Technology and Higher Education Indonesia</x:v>
      </x:c>
      <x:c r="E4" s="19"/>
      <x:c r="F4" s="18" t="str">
        <x:v>Enigmatic hotspot of crayfish diversity at risk: Invasive potential of non-indigenous crayfish if introduced to New Guinea</x:v>
      </x:c>
      <x:c r="G4" s="18" t="str">
        <x:v>10.1002/aqc.3276</x:v>
      </x:c>
      <x:c r="H4" s="19" t="str">
        <x:v>IRRELEVANT</x:v>
      </x:c>
      <x:c r="I4" s="19" t="str">
        <x:v>判定无关</x:v>
      </x:c>
      <x:c r="J4" s="19" t="str">
        <x:v>否</x:v>
      </x:c>
      <x:c r="K4" s="19" t="n">
        <x:v>10</x:v>
      </x:c>
      <x:c r="L4" s="18" t="str">
        <x:v>The paper discusses the oomycete Aphanomyces astaci as a pathogen threatening crayfish but does not report or discuss any compounds, extracts, pesticides, or derivatives tested for activity against this or any other oomycete.</x:v>
      </x:c>
      <x:c r="M4" s="18" t="str"/>
      <x:c r="N4" s="19" t="str">
        <x:v>2026-06-05 16:33:00</x:v>
      </x:c>
      <x:c r="O4" s="19" t="str">
        <x:v>2026-06-05 16:33:03</x:v>
      </x:c>
    </x:row>
    <x:row r="5" ht="40.5" customHeight="1">
      <x:c r="A5" s="19" t="n">
        <x:v>4</x:v>
      </x:c>
      <x:c r="B5" s="18" t="str">
        <x:v>61e65aed-bb49-42b4-abe6-00546e3aad09</x:v>
      </x:c>
      <x:c r="C5" s="18" t="str">
        <x:v>Field evaluation of cacao progenies derived from Guiana clones for yield and black pod disease resistance</x:v>
      </x:c>
      <x:c r="D5" s="18" t="str">
        <x:v>Atta Ofori; Francis K Padi; Ishmael Amoako-Attah; Atta Ofori Cacao; Cacao Research Institute of Ghana Box 8, Akim-Tafo Ghana; Research Institute of Ghana Box 8 Akim-Tafo Ghana</x:v>
      </x:c>
      <x:c r="E5" s="19" t="n">
        <x:v>2020</x:v>
      </x:c>
      <x:c r="F5" s="18" t="str">
        <x:v>Field evaluation of cacao progenies derived from Guiana clones for yield and black pod disease resistance</x:v>
      </x:c>
      <x:c r="G5" s="18" t="str">
        <x:v>10.1002/csc2.20101</x:v>
      </x:c>
      <x:c r="H5" s="19" t="str">
        <x:v>IRRELEVANT</x:v>
      </x:c>
      <x:c r="I5" s="19" t="str">
        <x:v>判定无关</x:v>
      </x:c>
      <x:c r="J5" s="19" t="str">
        <x:v>否</x:v>
      </x:c>
      <x:c r="K5" s="19" t="n">
        <x:v>28</x:v>
      </x:c>
      <x:c r="L5" s="18" t="str">
        <x:v>The paper focuses on breeding cacao progenies for resistance to black pod disease caused by Phytophthora species, but does not test or discuss any chemical compounds, extracts, pesticides, or derivatives for activity against oomycetes. The study evaluates host plant genetics and disease incidence under field conditions, not antimicrobial agents.</x:v>
      </x:c>
      <x:c r="M5" s="18" t="str"/>
      <x:c r="N5" s="19" t="str">
        <x:v>2026-06-05 16:33:03</x:v>
      </x:c>
      <x:c r="O5" s="19" t="str">
        <x:v>2026-06-05 16:33:06</x:v>
      </x:c>
    </x:row>
    <x:row r="6" ht="40.5" customHeight="1">
      <x:c r="A6" s="19" t="n">
        <x:v>5</x:v>
      </x:c>
      <x:c r="B6" s="18" t="str">
        <x:v>7b9a15e4-d601-4b43-ab0d-a8c20e86d51a</x:v>
      </x:c>
      <x:c r="C6" s="18" t="str">
        <x:v>Engqvist: Infection of common root rot in pea varieties</x:v>
      </x:c>
      <x:c r="D6" s="18" t="str">
        <x:v>L G Engqvist</x:v>
      </x:c>
      <x:c r="E6" s="19"/>
      <x:c r="F6" s="18" t="str">
        <x:v>Engqvist: Infection of common root rot in pea varieties</x:v>
      </x:c>
      <x:c r="G6" s="18" t="str"/>
      <x:c r="H6" s="19" t="str">
        <x:v>IRRELEVANT</x:v>
      </x:c>
      <x:c r="I6" s="19" t="str">
        <x:v>判定无关</x:v>
      </x:c>
      <x:c r="J6" s="19" t="str">
        <x:v>否</x:v>
      </x:c>
      <x:c r="K6" s="19" t="n">
        <x:v>15</x:v>
      </x:c>
      <x:c r="L6" s="18" t="str">
        <x:v>The paper focuses on the effects of Aphanomyces euteiches infection on pea crop traits like protein content, cookability, and yield, but does not test or discuss any compounds, extracts, pesticides, or derivatives for activity against this oomycete.</x:v>
      </x:c>
      <x:c r="M6" s="18" t="str"/>
      <x:c r="N6" s="19" t="str">
        <x:v>2026-06-05 16:33:06</x:v>
      </x:c>
      <x:c r="O6" s="19" t="str">
        <x:v>2026-06-05 16:33:08</x:v>
      </x:c>
    </x:row>
    <x:row r="7" ht="40.5" customHeight="1">
      <x:c r="A7" s="19" t="n">
        <x:v>6</x:v>
      </x:c>
      <x:c r="B7" s="18" t="str">
        <x:v>4386417a-386d-4931-8dad-114cad7f70f3</x:v>
      </x:c>
      <x:c r="C7" s="18" t="str">
        <x:v>Heterothallism in Peronospora farinosa f.sp. chenopodii, the causal agent of downy mildew of quinoa (Chenopodium quinoa)</x:v>
      </x:c>
      <x:c r="D7" s="18" t="str">
        <x:v>Solveig Danielsen</x:v>
      </x:c>
      <x:c r="E7" s="19"/>
      <x:c r="F7" s="18" t="str">
        <x:v>Heterothallism in Peronospora farinosa f.sp. chenopodii, the causal agent of downy mildew of quinoa (Chenopodium quinoa)</x:v>
      </x:c>
      <x:c r="G7" s="18" t="str"/>
      <x:c r="H7" s="19" t="str">
        <x:v>IRRELEVANT</x:v>
      </x:c>
      <x:c r="I7" s="19" t="str">
        <x:v>判定无关</x:v>
      </x:c>
      <x:c r="J7" s="19" t="str">
        <x:v>否</x:v>
      </x:c>
      <x:c r="K7" s="19" t="n">
        <x:v>6</x:v>
      </x:c>
      <x:c r="L7" s="18" t="str">
        <x:v>The paper focuses on the mating system (heterothallism) and population diversity of Peronospora farinosa f.sp. chenopodii, an oomycete, but does not report or discuss any compounds, extracts, pesticides, or derivatives tested for activity against it or any other oomycete.</x:v>
      </x:c>
      <x:c r="M7" s="18" t="str"/>
      <x:c r="N7" s="19" t="str">
        <x:v>2026-06-05 16:33:08</x:v>
      </x:c>
      <x:c r="O7" s="19" t="str">
        <x:v>2026-06-05 16:33:10</x:v>
      </x:c>
    </x:row>
    <x:row r="8" ht="40.5" customHeight="1">
      <x:c r="A8" s="19" t="n">
        <x:v>7</x:v>
      </x:c>
      <x:c r="B8" s="18" t="str">
        <x:v>d290bfa2-14f1-4ca1-a00e-9d4f75415c43</x:v>
      </x:c>
      <x:c r="C8" s="18" t="str">
        <x:v>Suppressive activity of some glucosinolate enzyme degradation products on Pythium irregulare and Rhizoctonia solani in sterile soil</x:v>
      </x:c>
      <x:c r="D8" s="18" t="str">
        <x:v>Luisa M Manici; Luca Lazzeri; Gianluca Baruzzi; Onofrio Leoni; Stefania Galletti; Sandro Palmieri; Italian Ministry of Agricultural Politics Istituto Sperimentale per le Colture Industriali Via di Corticella 133 -Bologna Italy</x:v>
      </x:c>
      <x:c r="E8" s="19"/>
      <x:c r="F8" s="18" t="str">
        <x:v>Suppressive activity of some glucosinolate enzyme degradation products on Pythium irregulare and Rhizoctonia solani in sterile soil</x:v>
      </x:c>
      <x:c r="G8" s="18" t="str"/>
      <x:c r="H8" s="19" t="str">
        <x:v>SUMMARIZED</x:v>
      </x:c>
      <x:c r="I8" s="19" t="str">
        <x:v>成功总结</x:v>
      </x:c>
      <x:c r="J8" s="19" t="str">
        <x:v>是</x:v>
      </x:c>
      <x:c r="K8" s="19" t="n">
        <x:v>18</x:v>
      </x:c>
      <x:c r="L8" s="18" t="str">
        <x:v>The paper reports experimental testing of glucosinolate degradation products against Pythium irregulare, an oomycete, in sterile soil, measuring suppression via colony-forming units and effectiveness index.</x:v>
      </x:c>
      <x:c r="M8" s="18" t="str">
        <x:v>D:\Project\ai_coding_platform\demo_01\data\rag-evaluation\efe44f92-8d28-4902-bf77-a15d3bf14ee8\papers\d290bfa2-14f1-4ca1-a00e-9d4f75415c43.md</x:v>
      </x:c>
      <x:c r="N8" s="19" t="str">
        <x:v>2026-06-05 16:33:10</x:v>
      </x:c>
      <x:c r="O8" s="19" t="str">
        <x:v>2026-06-05 16:33:42</x:v>
      </x:c>
    </x:row>
    <x:row r="9" ht="40.5" customHeight="1">
      <x:c r="A9" s="19" t="n">
        <x:v>8</x:v>
      </x:c>
      <x:c r="B9" s="18" t="str">
        <x:v>54be76bd-0384-4b60-a409-a37eb4a97240</x:v>
      </x:c>
      <x:c r="C9" s="18" t="str">
        <x:v>Dependence of the sphingoid bases concentration on growth phase and temperature in the yeast Yarrowia lipolytica</x:v>
      </x:c>
      <x:c r="D9" s="18" t="str">
        <x:v>Mirela Bauman; Marko Mesarić; Slavica Ribar; Vladimir Marić; Department of Chemistry &amp; Biochemistry WILEY-VCH Verlag Berlin GmbH 13086 2002 Berlin; Department of Biochemical Engineering Faculty of Food Technology &amp; Biotechnology University of Zagreb Pierottijeva 6 HR-10000 Zagreb Croatia</x:v>
      </x:c>
      <x:c r="E9" s="19"/>
      <x:c r="F9" s="18" t="str">
        <x:v>Dependence of the sphingoid bases concentration on growth phase and temperature in the yeast Yarrowia lipolytica</x:v>
      </x:c>
      <x:c r="G9" s="18" t="str"/>
      <x:c r="H9" s="19" t="str">
        <x:v>IRRELEVANT</x:v>
      </x:c>
      <x:c r="I9" s="19" t="str">
        <x:v>判定无关</x:v>
      </x:c>
      <x:c r="J9" s="19" t="str">
        <x:v>否</x:v>
      </x:c>
      <x:c r="K9" s="19" t="n">
        <x:v>12</x:v>
      </x:c>
      <x:c r="L9" s="18" t="str">
        <x:v>The paper investigates sphingoid base concentrations in the yeast Yarrowia lipolytica under varying growth phases and temperature conditions. While it mentions Phytophthora capsici and Phytophthora parasitica in passing as organisms where sphingosine has been found, it does not test or discuss any compound for activity against oomycetes. The study focuses solely on yeast lipid metabolism.</x:v>
      </x:c>
      <x:c r="M9" s="18" t="str"/>
      <x:c r="N9" s="19" t="str">
        <x:v>2026-06-05 16:33:42</x:v>
      </x:c>
      <x:c r="O9" s="19" t="str">
        <x:v>2026-06-05 16:33:46</x:v>
      </x:c>
    </x:row>
    <x:row r="10" ht="40.5" customHeight="1">
      <x:c r="A10" s="19" t="n">
        <x:v>9</x:v>
      </x:c>
      <x:c r="B10" s="18" t="str">
        <x:v>5dda73c5-7039-4340-980c-734b79ecd377</x:v>
      </x:c>
      <x:c r="C10" s="18" t="str">
        <x:v>Some contributions to integrated crop management in Europe †</x:v>
      </x:c>
      <x:c r="D10" s="18" t="str">
        <x:v>Roy T Hewson; Alfons Sagenmu; Alfons Sagenmu ¨ller Aventis CropScience 14/20 rue Pierre Baizet Aventis CropScience 14/20 rue Pierre. Baizet BP 9163 BP 9163 F-69263 F-69263 Lyon Cedex 09 Lyon Cedex 09 France; ISATIS. Ltd Manor Rd King's PE30 3PZ Grange Meadow North Wootton Lynn UK</x:v>
      </x:c>
      <x:c r="E10" s="19"/>
      <x:c r="F10" s="18" t="str">
        <x:v>Some contributions to integrated crop management in Europe †</x:v>
      </x:c>
      <x:c r="G10" s="18" t="str"/>
      <x:c r="H10" s="19" t="str">
        <x:v>SUMMARIZED</x:v>
      </x:c>
      <x:c r="I10" s="19" t="str">
        <x:v>成功总结</x:v>
      </x:c>
      <x:c r="J10" s="19" t="str">
        <x:v>是</x:v>
      </x:c>
      <x:c r="K10" s="19" t="n">
        <x:v>8</x:v>
      </x:c>
      <x:c r="L10" s="18" t="str">
        <x:v>The paper describes the use of propamocarb hydrochloride, a fungicide tested and applied against Phytophthora infestans (an oomycete), within a computerized warning system in the Netherlands. Experimental results from field trials are reported, including comparisons of green leaf area under different treatment regimes.</x:v>
      </x:c>
      <x:c r="M10" s="18" t="str">
        <x:v>D:\Project\ai_coding_platform\demo_01\data\rag-evaluation\efe44f92-8d28-4902-bf77-a15d3bf14ee8\papers\5dda73c5-7039-4340-980c-734b79ecd377.md</x:v>
      </x:c>
      <x:c r="N10" s="19" t="str">
        <x:v>2026-06-05 16:33:46</x:v>
      </x:c>
      <x:c r="O10" s="19" t="str">
        <x:v>2026-06-05 16:33:52</x:v>
      </x:c>
    </x:row>
    <x:row r="11" ht="40.5" customHeight="1">
      <x:c r="A11" s="19" t="n">
        <x:v>10</x:v>
      </x:c>
      <x:c r="B11" s="18" t="str">
        <x:v>7d8db3a1-c3cd-4be1-9c79-db2d968e9e1e</x:v>
      </x:c>
      <x:c r="C11" s="18" t="str">
        <x:v>Colonization history and human translocations explain the population genetic structure of the noble crayfish (Astacus astacus) in Fennoscandia: Implications for the management of a critically endangered species</x:v>
      </x:c>
      <x:c r="D11" s="18" t="str">
        <x:v>Johan Dannewitz; Stefan Palm; | Lennart; Department of Aquatic Resources Institute of Freshwater Research Swedish University of Agricultural Sciences Drottningholm Sweden; Department of Aquatic Resources Institute of Freshwater Research Swedish University of Agricultural Sciences Stångholmsvägen 2 SE-178 93 Drottningholm Sweden</x:v>
      </x:c>
      <x:c r="E11" s="19"/>
      <x:c r="F11" s="18" t="str">
        <x:v>Colonization history and human translocations explain the population genetic structure of the noble crayfish (Astacus astacus) in Fennoscandia: Implications for the management of a critically endangered species</x:v>
      </x:c>
      <x:c r="G11" s="18" t="str">
        <x:v>10.1002/aqc.3632</x:v>
      </x:c>
      <x:c r="H11" s="19" t="str">
        <x:v>IRRELEVANT</x:v>
      </x:c>
      <x:c r="I11" s="19" t="str">
        <x:v>判定无关</x:v>
      </x:c>
      <x:c r="J11" s="19" t="str">
        <x:v>否</x:v>
      </x:c>
      <x:c r="K11" s="19" t="n">
        <x:v>22</x:v>
      </x:c>
      <x:c r="L11" s="18" t="str">
        <x:v>The paper discusses the oomycete Aphanomyces astaci as the causative agent of crayfish plague but does not report or discuss any compounds, extracts, pesticides, or derivatives tested for activity against this or any other oomycete.</x:v>
      </x:c>
      <x:c r="M11" s="18" t="str"/>
      <x:c r="N11" s="19" t="str">
        <x:v>2026-06-05 16:33:52</x:v>
      </x:c>
      <x:c r="O11" s="19" t="str">
        <x:v>2026-06-05 16:33:55</x:v>
      </x:c>
    </x:row>
    <x:row r="12" ht="40.5" customHeight="1">
      <x:c r="A12" s="19" t="n">
        <x:v>11</x:v>
      </x:c>
      <x:c r="B12" s="18" t="str">
        <x:v>5569bcd0-3cd4-47ad-8d97-df1bea2a5a65</x:v>
      </x:c>
      <x:c r="C12" s="18" t="str">
        <x:v>In vivo control and in vitro antifungal activity of rhamnolipid B, a glycolipid antibiotic, against Phytophthora capsici and Colletotrichum orbiculare</x:v>
      </x:c>
      <x:c r="D12" s="18" t="str">
        <x:v>Beom Seok Kim; Jung Yeop Lee; Byung Kook Hwang; Department of Agricultural Biology Korea University 136-701 Seoul Korea</x:v>
      </x:c>
      <x:c r="E12" s="19"/>
      <x:c r="F12" s="18" t="str">
        <x:v>In vivo control and in vitro antifungal activity of rhamnolipid B, a glycolipid antibiotic, against Phytophthora capsici and Colletotrichum orbiculare</x:v>
      </x:c>
      <x:c r="G12" s="18" t="str"/>
      <x:c r="H12" s="19" t="str">
        <x:v>SUMMARIZED</x:v>
      </x:c>
      <x:c r="I12" s="19" t="str">
        <x:v>成功总结</x:v>
      </x:c>
      <x:c r="J12" s="19" t="str">
        <x:v>是</x:v>
      </x:c>
      <x:c r="K12" s="19" t="n">
        <x:v>16</x:v>
      </x:c>
      <x:c r="L12" s="18" t="str">
        <x:v>The paper reports in vitro and in vivo testing of rhamnolipid B against Phytophthora capsici, an oomycete, including MIC assays, zoospore lysis, and disease control in pepper plants.</x:v>
      </x:c>
      <x:c r="M12" s="18" t="str">
        <x:v>D:\Project\ai_coding_platform\demo_01\data\rag-evaluation\efe44f92-8d28-4902-bf77-a15d3bf14ee8\papers\5569bcd0-3cd4-47ad-8d97-df1bea2a5a65.md</x:v>
      </x:c>
      <x:c r="N12" s="19" t="str">
        <x:v>2026-06-05 16:33:55</x:v>
      </x:c>
      <x:c r="O12" s="19" t="str">
        <x:v>2026-06-05 16:34:52</x:v>
      </x:c>
    </x:row>
    <x:row r="13" ht="40.5" customHeight="1">
      <x:c r="A13" s="19" t="n">
        <x:v>12</x:v>
      </x:c>
      <x:c r="B13" s="18" t="str">
        <x:v>3c907604-f5f8-4cb5-a9d6-0238b11bdaf3</x:v>
      </x:c>
      <x:c r="C13" s="18" t="str">
        <x:v>Behaviour of famoxadone deposits on grape leaves</x:v>
      </x:c>
      <x:c r="D13" s="18" t="str">
        <x:v>N Andrieu; Jean-Luc Genet; G Jaworska; Gilbert Bompeix; DuPont de Nemours (France) SA European R&amp;D Centre Association Nationale de la Recherche Technique (ANRT) 24 rue du moulin F-68740 Nambsheim France</x:v>
      </x:c>
      <x:c r="E13" s="19"/>
      <x:c r="F13" s="18" t="str">
        <x:v>Behaviour of famoxadone deposits on grape leaves</x:v>
      </x:c>
      <x:c r="G13" s="18" t="str"/>
      <x:c r="H13" s="19" t="str">
        <x:v>SUMMARIZED</x:v>
      </x:c>
      <x:c r="I13" s="19" t="str">
        <x:v>成功总结</x:v>
      </x:c>
      <x:c r="J13" s="19" t="str">
        <x:v>是</x:v>
      </x:c>
      <x:c r="K13" s="19" t="n">
        <x:v>18</x:v>
      </x:c>
      <x:c r="L13" s="18" t="str">
        <x:v>The paper reports experimental evidence that famoxadone inhibits zoospore release and lyses zoospores of Plasmopara viticola and Phytophthora infestans, both oomycetes, at concentrations as low as 0.01 mg/L, and demonstrates efficacy in greenhouse and field trials against grape downy mildew caused by P. viticola.</x:v>
      </x:c>
      <x:c r="M13" s="18" t="str">
        <x:v>D:\Project\ai_coding_platform\demo_01\data\rag-evaluation\efe44f92-8d28-4902-bf77-a15d3bf14ee8\papers\3c907604-f5f8-4cb5-a9d6-0238b11bdaf3.md</x:v>
      </x:c>
      <x:c r="N13" s="19" t="str">
        <x:v>2026-06-05 16:34:52</x:v>
      </x:c>
      <x:c r="O13" s="19" t="str">
        <x:v>2026-06-05 16:35:18</x:v>
      </x:c>
    </x:row>
    <x:row r="14" ht="40.5" customHeight="1">
      <x:c r="A14" s="19" t="n">
        <x:v>13</x:v>
      </x:c>
      <x:c r="B14" s="18" t="str">
        <x:v>cc20e509-fe9f-4e33-ad2f-9c6d75527e92</x:v>
      </x:c>
      <x:c r="C14" s="18" t="str">
        <x:v>Famoxadone: the discovery and optimisation of a new agricultural fungicide †</x:v>
      </x:c>
      <x:c r="D14" s="18" t="str">
        <x:v>Jeffrey A Sternberg; Detlef Geffken; John B Adams Jr; Reiner Po; Charlene G Sternberg; Carlton L Campbell; William K Moberg; DuPont Crop Protection Products EI du Pont de Nemours and Co Stine-Haskell Research Center Building 300 PO Box 30 19714 Newark Delaware USA</x:v>
      </x:c>
      <x:c r="E14" s="19" t="n">
        <x:v>2000</x:v>
      </x:c>
      <x:c r="F14" s="18" t="str">
        <x:v>Famoxadone: the discovery and optimisation of a new agricultural fungicide †</x:v>
      </x:c>
      <x:c r="G14" s="18" t="str"/>
      <x:c r="H14" s="19" t="str">
        <x:v>SUMMARIZED</x:v>
      </x:c>
      <x:c r="I14" s="19" t="str">
        <x:v>成功总结</x:v>
      </x:c>
      <x:c r="J14" s="19" t="str">
        <x:v>是</x:v>
      </x:c>
      <x:c r="K14" s="19" t="n">
        <x:v>40</x:v>
      </x:c>
      <x:c r="L14" s="18" t="str">
        <x:v>The paper reports experimental testing of famoxadone and analogs against oomycetes Phytophthora infestans and Plasmopara viticola, including greenhouse disease control assays and mitochondrial inhibition studies.</x:v>
      </x:c>
      <x:c r="M14" s="18" t="str">
        <x:v>D:\Project\ai_coding_platform\demo_01\data\rag-evaluation\efe44f92-8d28-4902-bf77-a15d3bf14ee8\papers\cc20e509-fe9f-4e33-ad2f-9c6d75527e92.md</x:v>
      </x:c>
      <x:c r="N14" s="19" t="str">
        <x:v>2026-06-05 16:35:18</x:v>
      </x:c>
      <x:c r="O14" s="19" t="str">
        <x:v>2026-06-05 16:35:51</x:v>
      </x:c>
    </x:row>
    <x:row r="15" ht="40.5" customHeight="1">
      <x:c r="A15" s="19" t="n">
        <x:v>14</x:v>
      </x:c>
      <x:c r="B15" s="18" t="str">
        <x:v>dcaa18d5-9649-4929-86fc-c4a9b638993c</x:v>
      </x:c>
      <x:c r="C15" s="18" t="str">
        <x:v>Large-scale variation in boreal and temperate forest carbon turnover rate related to climate</x:v>
      </x:c>
      <x:c r="D15" s="18" t="str">
        <x:v>Martin Thurner; Christian Beer; Nuno Carvalhais; Matthias Forkel; Maurizio Santoro; Markus Tum; Christiane Schmullius</x:v>
      </x:c>
      <x:c r="E15" s="19" t="n">
        <x:v>2016</x:v>
      </x:c>
      <x:c r="F15" s="18" t="str">
        <x:v>Large-scale variation in boreal and temperate forest carbon turnover rate related to climate</x:v>
      </x:c>
      <x:c r="G15" s="18" t="str">
        <x:v>10.1002/2016gl068794</x:v>
      </x:c>
      <x:c r="H15" s="19" t="str">
        <x:v>IRRELEVANT</x:v>
      </x:c>
      <x:c r="I15" s="19" t="str">
        <x:v>判定无关</x:v>
      </x:c>
      <x:c r="J15" s="19" t="str">
        <x:v>否</x:v>
      </x:c>
      <x:c r="K15" s="19" t="n">
        <x:v>19</x:v>
      </x:c>
      <x:c r="L15" s="18" t="str">
        <x:v>The paper focuses on forest carbon turnover rates in relation to climate variables such as frost, drought, and insect outbreaks, but does not report or discuss any compounds, extracts, pesticides, or derivatives tested for activity against oomycetes.</x:v>
      </x:c>
      <x:c r="M15" s="18" t="str"/>
      <x:c r="N15" s="19" t="str">
        <x:v>2026-06-05 16:35:51</x:v>
      </x:c>
      <x:c r="O15" s="19" t="str">
        <x:v>2026-06-05 16:35:53</x:v>
      </x:c>
    </x:row>
    <x:row r="16" ht="40.5" customHeight="1">
      <x:c r="A16" s="19" t="n">
        <x:v>15</x:v>
      </x:c>
      <x:c r="B16" s="18" t="str">
        <x:v>9cfe0b4d-d77a-4332-be99-71810aa1e336</x:v>
      </x:c>
      <x:c r="C16"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16" s="18" t="str">
        <x:v>Zhangli Zuo; Milena Edna Roux; Holger Páll Saemundsson; Maren Müller; Sergi Munne Bosch; Morten Petersen</x:v>
      </x:c>
      <x:c r="E16" s="19"/>
      <x:c r="F16"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16" s="18" t="str">
        <x:v>10.1002/1873-3468.13977</x:v>
      </x:c>
      <x:c r="H16" s="19" t="str">
        <x:v>SUMMARIZED</x:v>
      </x:c>
      <x:c r="I16" s="19" t="str">
        <x:v>成功总结</x:v>
      </x:c>
      <x:c r="J16" s="19" t="str">
        <x:v>是</x:v>
      </x:c>
      <x:c r="K16" s="19" t="n">
        <x:v>27</x:v>
      </x:c>
      <x:c r="L16" s="18" t="str">
        <x:v>The paper reports experimental evidence that Arabidopsis pat1 mutants exhibit increased resistance to the oomycete pathogen Pythium irregulare, with significantly smaller lesion sizes compared to control genotypes after infection.</x:v>
      </x:c>
      <x:c r="M16" s="18" t="str">
        <x:v>D:\Project\ai_coding_platform\demo_01\data\rag-evaluation\efe44f92-8d28-4902-bf77-a15d3bf14ee8\papers\9cfe0b4d-d77a-4332-be99-71810aa1e336.md</x:v>
      </x:c>
      <x:c r="N16" s="19" t="str">
        <x:v>2026-06-05 16:35:53</x:v>
      </x:c>
      <x:c r="O16" s="19" t="str">
        <x:v>2026-06-05 16:35:58</x:v>
      </x:c>
    </x:row>
    <x:row r="17" ht="40.5" customHeight="1">
      <x:c r="A17" s="19" t="n">
        <x:v>16</x:v>
      </x:c>
      <x:c r="B17" s="18" t="str">
        <x:v>8e0a4a75-56a2-4a22-a2af-a6fa138bfbd9</x:v>
      </x:c>
      <x:c r="C17" s="18" t="str">
        <x:v>Proteomic Studies of Plant-Pathogenic Oomycetes and Fungi</x:v>
      </x:c>
      <x:c r="D17" s="18" t="str">
        <x:v>PIETER VAN WEST Catherine R Bruce; Laura J Grenville-Briggs</x:v>
      </x:c>
      <x:c r="E17" s="19"/>
      <x:c r="F17" s="18" t="str">
        <x:v>Proteomic Studies of Plant-Pathogenic Oomycetes and Fungi</x:v>
      </x:c>
      <x:c r="G17" s="18" t="str"/>
      <x:c r="H17" s="19" t="str">
        <x:v>IRRELEVANT</x:v>
      </x:c>
      <x:c r="I17" s="19" t="str">
        <x:v>判定无关</x:v>
      </x:c>
      <x:c r="J17" s="19" t="str">
        <x:v>否</x:v>
      </x:c>
      <x:c r="K17" s="19" t="n">
        <x:v>21</x:v>
      </x:c>
      <x:c r="L17" s="18" t="str">
        <x:v>The paper focuses on proteomic studies of oomycetes and fungi, discussing pathogen biology, host interactions, and protein expression across life stages, but does not report or discuss any compounds, extracts, pesticides, or derivatives tested for activity against oomycetes.</x:v>
      </x:c>
      <x:c r="M17" s="18" t="str"/>
      <x:c r="N17" s="19" t="str">
        <x:v>2026-06-05 16:35:58</x:v>
      </x:c>
      <x:c r="O17" s="19" t="str">
        <x:v>2026-06-05 16:36:01</x:v>
      </x:c>
    </x:row>
    <x:row r="18" ht="40.5" customHeight="1">
      <x:c r="A18" s="19" t="n">
        <x:v>17</x:v>
      </x:c>
      <x:c r="B18" s="18" t="str">
        <x:v>076f8b9d-22fe-423e-ba34-d9ee75bf9694</x:v>
      </x:c>
      <x:c r="C18" s="18" t="str">
        <x:v>Genetic analysis of plant disease resistance pathways</x:v>
      </x:c>
      <x:c r="D18" s="18" t="str">
        <x:v>Jane E Parker; Nicole Aarts; Mark A Austin; Bart J Feys; Lisa J Moisan; Paul Muskett; Christinte Rusterucci</x:v>
      </x:c>
      <x:c r="E18" s="19"/>
      <x:c r="F18" s="18" t="str">
        <x:v>Genetic analysis of plant disease resistance pathways</x:v>
      </x:c>
      <x:c r="G18" s="18" t="str"/>
      <x:c r="H18" s="19" t="str">
        <x:v>IRRELEVANT</x:v>
      </x:c>
      <x:c r="I18" s="19" t="str">
        <x:v>判定无关</x:v>
      </x:c>
      <x:c r="J18" s="19" t="str">
        <x:v>否</x:v>
      </x:c>
      <x:c r="K18" s="19" t="n">
        <x:v>14</x:v>
      </x:c>
      <x:c r="L18" s="18" t="str">
        <x:v>The paper focuses exclusively on plant genetic resistance mechanisms against the oomycete Peronospora parasitica, with no discussion or testing of any chemical compounds, extracts, pesticides, or derivatives for anti-oomycete activity.</x:v>
      </x:c>
      <x:c r="M18" s="18" t="str"/>
      <x:c r="N18" s="19" t="str">
        <x:v>2026-06-05 16:36:01</x:v>
      </x:c>
      <x:c r="O18" s="19" t="str">
        <x:v>2026-06-05 16:36:03</x:v>
      </x:c>
    </x:row>
    <x:row r="19" ht="40.5" customHeight="1">
      <x:c r="A19" s="19" t="n">
        <x:v>18</x:v>
      </x:c>
      <x:c r="B19" s="18" t="str">
        <x:v>4d6f5a47-2d36-41c6-bcc3-0f007bea534f</x:v>
      </x:c>
      <x:c r="C19" s="18" t="str">
        <x:v>Perspectives on Finding and Using Quantitative Disease Resistance Genes in Barley</x:v>
      </x:c>
      <x:c r="D19" s="18" t="str">
        <x:v>P M Hayes; L Marquez-Cedillo</x:v>
      </x:c>
      <x:c r="E19" s="19"/>
      <x:c r="F19" s="18" t="str">
        <x:v>Perspectives on Finding and Using Quantitative Disease Resistance Genes in Barley</x:v>
      </x:c>
      <x:c r="G19" s="18" t="str"/>
      <x:c r="H19" s="19" t="str">
        <x:v>IRRELEVANT</x:v>
      </x:c>
      <x:c r="I19" s="19" t="str">
        <x:v>判定无关</x:v>
      </x:c>
      <x:c r="J19" s="19" t="str">
        <x:v>否</x:v>
      </x:c>
      <x:c r="K19" s="19" t="n">
        <x:v>30</x:v>
      </x:c>
      <x:c r="L19" s="18" t="str">
        <x:v>The paper focuses exclusively on host genetic resistance in barley against fungal pathogens like stripe rust (Puccinia striiformis) and does not report or discuss any compounds, extracts, pesticides, or chemical agents tested for activity against oomycetes such as Phytophthora, Pythium, or related genera.</x:v>
      </x:c>
      <x:c r="M19" s="18" t="str"/>
      <x:c r="N19" s="19" t="str">
        <x:v>2026-06-05 16:36:03</x:v>
      </x:c>
      <x:c r="O19" s="19" t="str">
        <x:v>2026-06-05 16:36:06</x:v>
      </x:c>
    </x:row>
    <x:row r="20" ht="40.5" customHeight="1">
      <x:c r="A20" s="19" t="n">
        <x:v>19</x:v>
      </x:c>
      <x:c r="B20" s="18" t="str">
        <x:v>e0510d9a-7467-4f41-b5b1-0f2a34b1faac</x:v>
      </x:c>
      <x:c r="C20" s="18" t="str">
        <x:v>Phenolic Compounds in Plant Defense and Pathogen Counter-defense Mechanisms</x:v>
      </x:c>
      <x:c r="D20" s="18" t="str">
        <x:v>Abdelbasset Fouad Daayf; El Hadrami; Ahmed F El-Bebany; Maria A Henriquez; Zhen Yao; Holly Derksen; Ismaïl El-Hadrami; Lorne R Adam</x:v>
      </x:c>
      <x:c r="E20" s="19"/>
      <x:c r="F20" s="18" t="str">
        <x:v>Phenolic Compounds in Plant Defense and Pathogen Counter-defense Mechanisms</x:v>
      </x:c>
      <x:c r="G20" s="18" t="str"/>
      <x:c r="H20" s="19" t="str">
        <x:v>SUMMARIZED</x:v>
      </x:c>
      <x:c r="I20" s="19" t="str">
        <x:v>成功总结</x:v>
      </x:c>
      <x:c r="J20" s="19" t="str">
        <x:v>是</x:v>
      </x:c>
      <x:c r="K20" s="19" t="n">
        <x:v>22</x:v>
      </x:c>
      <x:c r="L20" s="18" t="str">
        <x:v>The paper reports experimental evidence that hydroxycinnamic acids (phenolic compounds) showed antifungal activity against Pythium ultimum and Pythium aphanidermatum, which are oomycetes. This is explicitly stated in chunk 8.</x:v>
      </x:c>
      <x:c r="M20" s="18" t="str">
        <x:v>D:\Project\ai_coding_platform\demo_01\data\rag-evaluation\efe44f92-8d28-4902-bf77-a15d3bf14ee8\papers\e0510d9a-7467-4f41-b5b1-0f2a34b1faac.md</x:v>
      </x:c>
      <x:c r="N20" s="19" t="str">
        <x:v>2026-06-05 16:36:06</x:v>
      </x:c>
      <x:c r="O20" s="19" t="str">
        <x:v>2026-06-05 16:36:13</x:v>
      </x:c>
    </x:row>
    <x:row r="21" ht="40.5" customHeight="1">
      <x:c r="A21" s="19" t="n">
        <x:v>20</x:v>
      </x:c>
      <x:c r="B21" s="18" t="str">
        <x:v>1e2b43b6-c94c-4a02-a023-5140bd467c46</x:v>
      </x:c>
      <x:c r="C21" s="18" t="str">
        <x:v>10.1002_chin.199605185</x:v>
      </x:c>
      <x:c r="D21" s="18" t="str"/>
      <x:c r="E21" s="19"/>
      <x:c r="F21" s="18" t="str"/>
      <x:c r="G21" s="18" t="str"/>
      <x:c r="H21" s="19" t="str">
        <x:v>NO_CHUNKS</x:v>
      </x:c>
      <x:c r="I21" s="19" t="str">
        <x:v>缺少 chunks</x:v>
      </x:c>
      <x:c r="J21" s="19" t="str"/>
      <x:c r="K21" s="19" t="n">
        <x:v>0</x:v>
      </x:c>
      <x:c r="L21" s="18" t="str">
        <x:v>No chunks available in vector storage or document.jsonl.</x:v>
      </x:c>
      <x:c r="M21" s="18" t="str"/>
      <x:c r="N21" s="19" t="str">
        <x:v>2026-06-05 16:36:13</x:v>
      </x:c>
      <x:c r="O21" s="19" t="str">
        <x:v>2026-06-05 16:36:13</x:v>
      </x:c>
    </x:row>
    <x:row r="22" ht="40.5" customHeight="1">
      <x:c r="A22" s="19" t="n">
        <x:v>21</x:v>
      </x:c>
      <x:c r="B22" s="18" t="str">
        <x:v>1010e600-aa39-43c9-887d-d218b06a8afa</x:v>
      </x:c>
      <x:c r="C22" s="18" t="str">
        <x:v>10.1002_chin.199640167</x:v>
      </x:c>
      <x:c r="D22" s="18" t="str"/>
      <x:c r="E22" s="19"/>
      <x:c r="F22" s="18" t="str"/>
      <x:c r="G22" s="18" t="str"/>
      <x:c r="H22" s="19" t="str">
        <x:v>NO_CHUNKS</x:v>
      </x:c>
      <x:c r="I22" s="19" t="str">
        <x:v>缺少 chunks</x:v>
      </x:c>
      <x:c r="J22" s="19" t="str"/>
      <x:c r="K22" s="19" t="n">
        <x:v>0</x:v>
      </x:c>
      <x:c r="L22" s="18" t="str">
        <x:v>No chunks available in vector storage or document.jsonl.</x:v>
      </x:c>
      <x:c r="M22" s="18" t="str"/>
      <x:c r="N22" s="19" t="str">
        <x:v>2026-06-05 16:36:13</x:v>
      </x:c>
      <x:c r="O22" s="19" t="str">
        <x:v>2026-06-05 16:36:13</x:v>
      </x:c>
    </x:row>
    <x:row r="23" ht="40.5" customHeight="1">
      <x:c r="A23" s="19" t="n">
        <x:v>22</x:v>
      </x:c>
      <x:c r="B23" s="18" t="str">
        <x:v>904009a4-8741-49ee-9e7d-2631354c63d7</x:v>
      </x:c>
      <x:c r="C23" s="18" t="str">
        <x:v>Sensitivity Profiles of Mycosphaerella graminicola and Phytophthora infestans Populations to Different Classes of Fungicides *</x:v>
      </x:c>
      <x:c r="D23" s="18" t="str">
        <x:v>Ulrich Gisi; Dietrich Hermann; Leonie Ohl; Christoph Steden</x:v>
      </x:c>
      <x:c r="E23" s="19"/>
      <x:c r="F23" s="18" t="str">
        <x:v>Sensitivity Profiles of Mycosphaerella graminicola and Phytophthora infestans Populations to Different Classes of Fungicides *</x:v>
      </x:c>
      <x:c r="G23" s="18" t="str"/>
      <x:c r="H23" s="19" t="str">
        <x:v>SUMMARIZED</x:v>
      </x:c>
      <x:c r="I23" s="19" t="str">
        <x:v>成功总结</x:v>
      </x:c>
      <x:c r="J23" s="19" t="str">
        <x:v>是</x:v>
      </x:c>
      <x:c r="K23" s="19" t="n">
        <x:v>18</x:v>
      </x:c>
      <x:c r="L23" s="18" t="str">
        <x:v>The paper reports experimental testing of multiple fungicides—including azoxystrobin, cymoxanil, and oxadixyl—against Phytophthora infestans, an oomycete, using leaf disc assays and measuring EC50 values for growth inhibition.</x:v>
      </x:c>
      <x:c r="M23" s="18" t="str">
        <x:v>D:\Project\ai_coding_platform\demo_01\data\rag-evaluation\efe44f92-8d28-4902-bf77-a15d3bf14ee8\papers\904009a4-8741-49ee-9e7d-2631354c63d7.md</x:v>
      </x:c>
      <x:c r="N23" s="19" t="str">
        <x:v>2026-06-05 16:36:13</x:v>
      </x:c>
      <x:c r="O23" s="19" t="str">
        <x:v>2026-06-05 16:36:31</x:v>
      </x:c>
    </x:row>
    <x:row r="24" ht="40.5" customHeight="1">
      <x:c r="A24" s="19" t="n">
        <x:v>23</x:v>
      </x:c>
      <x:c r="B24" s="18" t="str">
        <x:v>6030af58-eb7f-4ff8-9722-a079e7a1b7df</x:v>
      </x:c>
      <x:c r="C24" s="18" t="str">
        <x:v>Resistance of Phytophthora porri to Metalaxyl *</x:v>
      </x:c>
      <x:c r="D24" s="18" t="str">
        <x:v>Thomas Locke; John Scrace2; J Mark</x:v>
      </x:c>
      <x:c r="E24" s="19"/>
      <x:c r="F24" s="18" t="str">
        <x:v>Resistance of Phytophthora porri to Metalaxyl *</x:v>
      </x:c>
      <x:c r="G24" s="18" t="str"/>
      <x:c r="H24" s="19" t="str">
        <x:v>FAILED</x:v>
      </x:c>
      <x:c r="I24" s="19" t="str">
        <x:v>处理失败</x:v>
      </x:c>
      <x:c r="J24" s="19" t="str">
        <x:v>是</x:v>
      </x:c>
      <x:c r="K24" s="19" t="n">
        <x:v>10</x:v>
      </x:c>
      <x:c r="L24" s="18" t="str">
        <x:v>Markdown table synthesis failed after 3 attempts: Missing values must use empty cells</x:v>
      </x:c>
      <x:c r="M24" s="18" t="str"/>
      <x:c r="N24" s="19" t="str">
        <x:v>2026-06-05 16:36:31</x:v>
      </x:c>
      <x:c r="O24" s="19" t="str">
        <x:v>2026-06-05 16:36:54</x:v>
      </x:c>
    </x:row>
    <x:row r="25" ht="40.5" customHeight="1">
      <x:c r="A25" s="19" t="n">
        <x:v>24</x:v>
      </x:c>
      <x:c r="B25" s="18" t="str">
        <x:v>c8e3f152-1735-4b29-bb24-a8cdb3657d26</x:v>
      </x:c>
      <x:c r="C25" s="18" t="str">
        <x:v>Evaluation of Methyl Iodide as a Soil Fumigant in Container and Small Field Plot Studies</x:v>
      </x:c>
      <x:c r="D25" s="18" t="str">
        <x:v>Jo Rn; Ole Becker; Howard D Ohr; Nigel M Grech; Jr3 Milton E Mcgiþen; James J Sims2</x:v>
      </x:c>
      <x:c r="E25" s="19"/>
      <x:c r="F25" s="18" t="str">
        <x:v>Evaluation of Methyl Iodide as a Soil Fumigant in Container and Small Field Plot Studies</x:v>
      </x:c>
      <x:c r="G25" s="18" t="str"/>
      <x:c r="H25" s="19" t="str">
        <x:v>FAILED</x:v>
      </x:c>
      <x:c r="I25" s="19" t="str">
        <x:v>处理失败</x:v>
      </x:c>
      <x:c r="J25" s="19" t="str">
        <x:v>是</x:v>
      </x:c>
      <x:c r="K25" s="19" t="n">
        <x:v>12</x:v>
      </x:c>
      <x:c r="L25" s="18" t="str">
        <x:v>Markdown table synthesis failed after 3 attempts: Missing values must use empty cells</x:v>
      </x:c>
      <x:c r="M25" s="18" t="str"/>
      <x:c r="N25" s="19" t="str">
        <x:v>2026-06-05 16:36:54</x:v>
      </x:c>
      <x:c r="O25" s="19" t="str">
        <x:v>2026-06-05 16:37:13</x:v>
      </x:c>
    </x:row>
    <x:row r="26" ht="40.5" customHeight="1">
      <x:c r="A26" s="19" t="n">
        <x:v>25</x:v>
      </x:c>
      <x:c r="B26" s="18" t="str">
        <x:v>35e6eea7-22a1-4c62-a282-6591083271be</x:v>
      </x:c>
      <x:c r="C26" s="18" t="str">
        <x:v>Protection of Brassica Seedlings against Downy Mildew and Damping-oþ by Seed Treatment with CGA 245704, an Activator of Systemic Acquired Resistance</x:v>
      </x:c>
      <x:c r="D26" s="18" t="str">
        <x:v>Brita D Jensen; A Olumide Latunde-Dada; Donna Hudson; John A Lucas°i; Department of Agricultural Sciences ACR-Long Ashton Research Station University of Bristol BS18 9AF Long Ashton Bristol UK; L. A/S Breeding Station Danefeld Odensevej 82 5290 Marslev Denmark; Department of Crop Production &amp; Crop Protection College of Plant Science &amp; Crop Production University of Agriculture PMB 2240 Abeokuta Nigeria</x:v>
      </x:c>
      <x:c r="E26" s="19"/>
      <x:c r="F26" s="18" t="str">
        <x:v>Protection of Brassica Seedlings against Downy Mildew and Damping-oþ by Seed Treatment with CGA 245704, an Activator of Systemic Acquired Resistance</x:v>
      </x:c>
      <x:c r="G26" s="18" t="str"/>
      <x:c r="H26" s="19" t="str">
        <x:v>SUMMARIZED</x:v>
      </x:c>
      <x:c r="I26" s="19" t="str">
        <x:v>成功总结</x:v>
      </x:c>
      <x:c r="J26" s="19" t="str">
        <x:v>是</x:v>
      </x:c>
      <x:c r="K26" s="19" t="n">
        <x:v>17</x:v>
      </x:c>
      <x:c r="L26" s="18" t="str">
        <x:v>The paper reports experimental testing of the compound CGA 245704 against Peronospora parasitica, an oomycete that causes downy mildew in Brassica seedlings. The study evaluates disease sporulation intensity, host response, and hyphal growth after seed treatment with the compound, providing substantive evidence of its activity against this oomycete.</x:v>
      </x:c>
      <x:c r="M26" s="18" t="str">
        <x:v>D:\Project\ai_coding_platform\demo_01\data\rag-evaluation\efe44f92-8d28-4902-bf77-a15d3bf14ee8\papers\35e6eea7-22a1-4c62-a282-6591083271be.md</x:v>
      </x:c>
      <x:c r="N26" s="19" t="str">
        <x:v>2026-06-05 16:37:13</x:v>
      </x:c>
      <x:c r="O26" s="19" t="str">
        <x:v>2026-06-05 16:37:40</x:v>
      </x:c>
    </x:row>
    <x:row r="27" ht="40.5" customHeight="1">
      <x:c r="A27" s="19" t="n">
        <x:v>26</x:v>
      </x:c>
      <x:c r="B27" s="18" t="str">
        <x:v>1419b8a6-8f56-4bfa-bbae-cdae0bfa130c</x:v>
      </x:c>
      <x:c r="C27" s="18" t="str">
        <x:v>Communication to the Editor Distribution of Sensitivity Responses to Cymoxanil within Global Populations of Phytophthora infestans¤</x:v>
      </x:c>
      <x:c r="D27" s="18" t="str">
        <x:v>Ronald A Hamlen; Richard J Power</x:v>
      </x:c>
      <x:c r="E27" s="19"/>
      <x:c r="F27" s="18" t="str">
        <x:v>Communication to the Editor Distribution of Sensitivity Responses to Cymoxanil within Global Populations of Phytophthora infestans¤</x:v>
      </x:c>
      <x:c r="G27" s="18" t="str"/>
      <x:c r="H27" s="19" t="str">
        <x:v>SUMMARIZED</x:v>
      </x:c>
      <x:c r="I27" s="19" t="str">
        <x:v>成功总结</x:v>
      </x:c>
      <x:c r="J27" s="19" t="str">
        <x:v>是</x:v>
      </x:c>
      <x:c r="K27" s="19" t="n">
        <x:v>7</x:v>
      </x:c>
      <x:c r="L27" s="18" t="str">
        <x:v>The paper reports experimental testing of cymoxanil against Phytophthora infestans, an oomycete, using in-vitro radial growth assays and greenhouse efficacy trials, providing substantive evidence of compound activity.</x:v>
      </x:c>
      <x:c r="M27" s="18" t="str">
        <x:v>D:\Project\ai_coding_platform\demo_01\data\rag-evaluation\efe44f92-8d28-4902-bf77-a15d3bf14ee8\papers\1419b8a6-8f56-4bfa-bbae-cdae0bfa130c.md</x:v>
      </x:c>
      <x:c r="N27" s="19" t="str">
        <x:v>2026-06-05 16:37:40</x:v>
      </x:c>
      <x:c r="O27" s="19" t="str">
        <x:v>2026-06-05 16:38:14</x:v>
      </x:c>
    </x:row>
    <x:row r="28" ht="40.5" customHeight="1">
      <x:c r="A28" s="19" t="n">
        <x:v>27</x:v>
      </x:c>
      <x:c r="B28" s="18" t="str">
        <x:v>961ef86d-1be5-4876-ba6f-e39cedc40c46</x:v>
      </x:c>
      <x:c r="C28" s="18" t="str">
        <x:v>Sensitivity of European Plasmopara viticola populations to cymoxanil</x:v>
      </x:c>
      <x:c r="D28" s="18" t="str">
        <x:v>Jean-Luc Genet; Olivier Vincent; Dupont De Nemours; European France Sa; R&amp;d Centre; Nambs Heim; Jean-Luc Genet=fra; Dupont; Com</x:v>
      </x:c>
      <x:c r="E28" s="19"/>
      <x:c r="F28" s="18" t="str">
        <x:v>Sensitivity of European Plasmopara viticola populations to cymoxanil</x:v>
      </x:c>
      <x:c r="G28" s="18" t="str"/>
      <x:c r="H28" s="19" t="str">
        <x:v>SUMMARIZED</x:v>
      </x:c>
      <x:c r="I28" s="19" t="str">
        <x:v>成功总结</x:v>
      </x:c>
      <x:c r="J28" s="19" t="str">
        <x:v>是</x:v>
      </x:c>
      <x:c r="K28" s="19" t="n">
        <x:v>23</x:v>
      </x:c>
      <x:c r="L28" s="18" t="str">
        <x:v>The paper reports experimental testing of cymoxanil against Plasmopara viticola (an oomycete) using leaf-disc assays and field trials, measuring MIC and EC50 values across multiple populations.</x:v>
      </x:c>
      <x:c r="M28" s="18" t="str">
        <x:v>D:\Project\ai_coding_platform\demo_01\data\rag-evaluation\efe44f92-8d28-4902-bf77-a15d3bf14ee8\papers\961ef86d-1be5-4876-ba6f-e39cedc40c46.md</x:v>
      </x:c>
      <x:c r="N28" s="19" t="str">
        <x:v>2026-06-05 16:38:14</x:v>
      </x:c>
      <x:c r="O28" s="19" t="str">
        <x:v>2026-06-05 16:38:33</x:v>
      </x:c>
    </x:row>
    <x:row r="29" ht="40.5" customHeight="1">
      <x:c r="A29" s="19" t="n">
        <x:v>28</x:v>
      </x:c>
      <x:c r="B29" s="18" t="str">
        <x:v>323d683f-d5a6-40f1-94c3-d9e8329d3ba1</x:v>
      </x:c>
      <x:c r="C29" s="18" t="str">
        <x:v>A Novel Membrane Reactor Design for Controlled Studies of Interacting Populations (Simulation of the Interaction Between Microorganism and Plant Suspension Cultures)</x:v>
      </x:c>
      <x:c r="D29" s="18" t="str">
        <x:v>L J Pestchanker; E C Ercoli; Universidad Nacional de Cuyo 5500 Mendoza Argentina;</x:v>
      </x:c>
      <x:c r="E29" s="19"/>
      <x:c r="F29" s="18" t="str">
        <x:v>A Novel Membrane Reactor Design for Controlled Studies of Interacting Populations (Simulation of the Interaction Between Microorganism and Plant Suspension Cultures)</x:v>
      </x:c>
      <x:c r="G29" s="18" t="str"/>
      <x:c r="H29" s="19" t="str">
        <x:v>SUMMARIZED</x:v>
      </x:c>
      <x:c r="I29" s="19" t="str">
        <x:v>成功总结</x:v>
      </x:c>
      <x:c r="J29" s="19" t="str">
        <x:v>是</x:v>
      </x:c>
      <x:c r="K29" s="19" t="n">
        <x:v>13</x:v>
      </x:c>
      <x:c r="L29" s="18" t="str">
        <x:v>The paper discusses Phytophthora nicotianae, an oomycete, and its extracellular elicitor (a polysaccharide from cell walls) that induces sesquiterpenoid production in Nicotiana tabacum plant cells. This constitutes substantive experimental discussion of a compound (the elicitor) derived from an oomycete and its biological activity in interaction with plant cells.</x:v>
      </x:c>
      <x:c r="M29" s="18" t="str">
        <x:v>D:\Project\ai_coding_platform\demo_01\data\rag-evaluation\efe44f92-8d28-4902-bf77-a15d3bf14ee8\papers\323d683f-d5a6-40f1-94c3-d9e8329d3ba1.md</x:v>
      </x:c>
      <x:c r="N29" s="19" t="str">
        <x:v>2026-06-05 16:38:33</x:v>
      </x:c>
      <x:c r="O29" s="19" t="str">
        <x:v>2026-06-05 16:38:39</x:v>
      </x:c>
    </x:row>
    <x:row r="30" ht="40.5" customHeight="1">
      <x:c r="A30" s="19" t="n">
        <x:v>29</x:v>
      </x:c>
      <x:c r="B30" s="18" t="str">
        <x:v>01c7326b-4aee-42d3-9250-ee5dadfe5bbd</x:v>
      </x:c>
      <x:c r="C30" s="18" t="str">
        <x:v>Antimycotic Activity against Saprolegnia ferax of Extracts of Artemisia verlotorum and Santolina etrusca</x:v>
      </x:c>
      <x:c r="D30" s="18" t="str">
        <x:v>Dr F Macchioni; S Perrucci; G Flamini; P L Cioni; I Morelli; Dipartimento di Chimica Bioorganica Via Bonanno 33 56126 Pisa Italy</x:v>
      </x:c>
      <x:c r="E30" s="19"/>
      <x:c r="F30" s="18" t="str">
        <x:v>Antimycotic Activity against Saprolegnia ferax of Extracts of Artemisia verlotorum and Santolina etrusca</x:v>
      </x:c>
      <x:c r="G30" s="18" t="str"/>
      <x:c r="H30" s="19" t="str">
        <x:v>SUMMARIZED</x:v>
      </x:c>
      <x:c r="I30" s="19" t="str">
        <x:v>成功总结</x:v>
      </x:c>
      <x:c r="J30" s="19" t="str">
        <x:v>是</x:v>
      </x:c>
      <x:c r="K30" s="19" t="n">
        <x:v>4</x:v>
      </x:c>
      <x:c r="L30" s="18" t="str">
        <x:v>The paper reports experimental testing of Artemisia verlotorum and Santolina etrusca extracts against Saprolegnia ferax, an oomycete, including measurement of minimum inhibitory concentrations (MICs) and fungal growth inhibition over time.</x:v>
      </x:c>
      <x:c r="M30" s="18" t="str">
        <x:v>D:\Project\ai_coding_platform\demo_01\data\rag-evaluation\efe44f92-8d28-4902-bf77-a15d3bf14ee8\papers\01c7326b-4aee-42d3-9250-ee5dadfe5bbd.md</x:v>
      </x:c>
      <x:c r="N30" s="19" t="str">
        <x:v>2026-06-05 16:38:39</x:v>
      </x:c>
      <x:c r="O30" s="19" t="str">
        <x:v>2026-06-05 16:39:13</x:v>
      </x:c>
    </x:row>
    <x:row r="31" ht="40.5" customHeight="1">
      <x:c r="A31" s="19" t="n">
        <x:v>30</x:v>
      </x:c>
      <x:c r="B31" s="18" t="str">
        <x:v>a63c6c42-3431-4223-999b-592ecd4e9999</x:v>
      </x:c>
      <x:c r="C31" s="18" t="str">
        <x:v>10.1002_chin.200239128</x:v>
      </x:c>
      <x:c r="D31" s="18" t="str">
        <x:v>Dep. Chem Res. Lab Univ. Gorakhpur 273 009 Gorakhpur India</x:v>
      </x:c>
      <x:c r="E31" s="19"/>
      <x:c r="F31" s="18" t="str"/>
      <x:c r="G31" s="18" t="str"/>
      <x:c r="H31" s="19" t="str">
        <x:v>NO_CHUNKS</x:v>
      </x:c>
      <x:c r="I31" s="19" t="str">
        <x:v>缺少 chunks</x:v>
      </x:c>
      <x:c r="J31" s="19" t="str"/>
      <x:c r="K31" s="19" t="n">
        <x:v>0</x:v>
      </x:c>
      <x:c r="L31" s="18" t="str">
        <x:v>No chunks available in vector storage or document.jsonl.</x:v>
      </x:c>
      <x:c r="M31" s="18" t="str"/>
      <x:c r="N31" s="19" t="str">
        <x:v>2026-06-05 16:39:13</x:v>
      </x:c>
      <x:c r="O31" s="19" t="str">
        <x:v>2026-06-05 16:39:13</x:v>
      </x:c>
    </x:row>
    <x:row r="32" ht="40.5" customHeight="1">
      <x:c r="A32" s="19" t="n">
        <x:v>31</x:v>
      </x:c>
      <x:c r="B32" s="18" t="str">
        <x:v>3ef38d9f-b4c3-48f4-afc0-a6d8f92d9224</x:v>
      </x:c>
      <x:c r="C32" s="18" t="str">
        <x:v>Synthesis and Antifungal Activities of N-Aryl-4-phenyl-3-(4-phenoxyphenyl)butanamides</x:v>
      </x:c>
      <x:c r="D32" s="18" t="str">
        <x:v>So Ha Lee; In-O Kim; Seong Chan; Cheong; Bong Young Chung</x:v>
      </x:c>
      <x:c r="E32" s="19"/>
      <x:c r="F32" s="18" t="str">
        <x:v>Synthesis and Antifungal Activities of N-Aryl-4-phenyl-3-(4-phenoxyphenyl)butanamides</x:v>
      </x:c>
      <x:c r="G32" s="18" t="str"/>
      <x:c r="H32" s="19" t="str">
        <x:v>SUMMARIZED</x:v>
      </x:c>
      <x:c r="I32" s="19" t="str">
        <x:v>成功总结</x:v>
      </x:c>
      <x:c r="J32" s="19" t="str">
        <x:v>是</x:v>
      </x:c>
      <x:c r="K32" s="19" t="n">
        <x:v>19</x:v>
      </x:c>
      <x:c r="L32" s="18" t="str">
        <x:v>The paper reports testing of synthesized N-aryl-4-phenyl-3-(4-phenoxyphenyl)butanamides against Phytophthora infestans, an oomycete, in vivo, with quantitative antifungal activity data provided in Table 1.</x:v>
      </x:c>
      <x:c r="M32" s="18" t="str">
        <x:v>D:\Project\ai_coding_platform\demo_01\data\rag-evaluation\efe44f92-8d28-4902-bf77-a15d3bf14ee8\papers\3ef38d9f-b4c3-48f4-afc0-a6d8f92d9224.md</x:v>
      </x:c>
      <x:c r="N32" s="19" t="str">
        <x:v>2026-06-05 16:39:13</x:v>
      </x:c>
      <x:c r="O32" s="19" t="str">
        <x:v>2026-06-05 16:39:43</x:v>
      </x:c>
    </x:row>
    <x:row r="33" ht="40.5" customHeight="1">
      <x:c r="A33" s="19" t="n">
        <x:v>32</x:v>
      </x:c>
      <x:c r="B33" s="18" t="str">
        <x:v>f78c55f5-e77a-485b-b10b-c4b69e63b657</x:v>
      </x:c>
      <x:c r="C33" s="18" t="str">
        <x:v>Efficacy of methyl iodide and synergy with chloropicrin for control of fungi</x:v>
      </x:c>
      <x:c r="D33" s="18" t="str">
        <x:v>Chad M Hutchinson; Milton E Mcgiffen Jr; Howard D Ohr; James J Sims; Ole Becker; J Ole Becker; Department of Nematology University of California 92521 Riverside CA USA</x:v>
      </x:c>
      <x:c r="E33" s="19"/>
      <x:c r="F33" s="18" t="str">
        <x:v>Efficacy of methyl iodide and synergy with chloropicrin for control of fungi</x:v>
      </x:c>
      <x:c r="G33" s="18" t="str"/>
      <x:c r="H33" s="19" t="str">
        <x:v>FAILED</x:v>
      </x:c>
      <x:c r="I33" s="19" t="str">
        <x:v>处理失败</x:v>
      </x:c>
      <x:c r="J33" s="19" t="str">
        <x:v>是</x:v>
      </x:c>
      <x:c r="K33" s="19" t="n">
        <x:v>14</x:v>
      </x:c>
      <x:c r="L33" s="18" t="str">
        <x:v>Markdown table synthesis failed after 3 attempts: Missing values must use empty cells</x:v>
      </x:c>
      <x:c r="M33" s="18" t="str"/>
      <x:c r="N33" s="19" t="str">
        <x:v>2026-06-05 16:39:43</x:v>
      </x:c>
      <x:c r="O33" s="19" t="str">
        <x:v>2026-06-05 16:40:52</x:v>
      </x:c>
    </x:row>
    <x:row r="34" ht="40.5" customHeight="1">
      <x:c r="A34" s="19" t="n">
        <x:v>33</x:v>
      </x:c>
      <x:c r="B34" s="18" t="str">
        <x:v>c5fb7528-1d38-49e7-9060-4987790673b9</x:v>
      </x:c>
      <x:c r="C34" s="18" t="str">
        <x:v>First Report of Achlya oblongata Infection in Freshwater-Reared Asian Seabass Lates calcarifer</x:v>
      </x:c>
      <x:c r="D34" s="18" t="str">
        <x:v>Lik-Ming Lau; Kishio Hatai; Hanako Fukano; Osamu Kurata; Microbiology and Fish Disease Laboratory Borneo Marine Research Institute Universiti Malaysia Sabah 88400 Kota Kinabalu Sabah Malaysia; School of Veterinary Medicine Laboratory of Aquatic Medicine Nippon Veterinary and Life Science University 180-8602 Tokyo Japan</x:v>
      </x:c>
      <x:c r="E34" s="19"/>
      <x:c r="F34" s="18" t="str">
        <x:v>First Report of Achlya oblongata Infection in Freshwater-Reared Asian Seabass Lates calcarifer</x:v>
      </x:c>
      <x:c r="G34" s="18" t="str">
        <x:v>10.1002/aah.10018</x:v>
      </x:c>
      <x:c r="H34" s="19" t="str">
        <x:v>IRRELEVANT</x:v>
      </x:c>
      <x:c r="I34" s="19" t="str">
        <x:v>判定无关</x:v>
      </x:c>
      <x:c r="J34" s="19" t="str">
        <x:v>否</x:v>
      </x:c>
      <x:c r="K34" s="19" t="n">
        <x:v>9</x:v>
      </x:c>
      <x:c r="L34" s="18" t="str">
        <x:v>The paper reports the first identification and characterization of Achlya oblongata infecting Asian Seabass but does not test or discuss any compounds, extracts, pesticides, or derivatives for activity against this or any other oomycete.</x:v>
      </x:c>
      <x:c r="M34" s="18" t="str"/>
      <x:c r="N34" s="19" t="str">
        <x:v>2026-06-05 16:40:52</x:v>
      </x:c>
      <x:c r="O34" s="19" t="str">
        <x:v>2026-06-05 16:40:54</x:v>
      </x:c>
    </x:row>
    <x:row r="35" ht="40.5" customHeight="1">
      <x:c r="A35" s="19" t="n">
        <x:v>34</x:v>
      </x:c>
      <x:c r="B35" s="18" t="str">
        <x:v>471e1f39-86ed-4bf3-9cd4-f8f93e698b24</x:v>
      </x:c>
      <x:c r="C35" s="18" t="str">
        <x:v>First Record of the Water Mold Achlya bisexualis (Saprolegniaceae) Isolated from Ornamental Fish in South Africa</x:v>
      </x:c>
      <x:c r="D35" s="18" t="str">
        <x:v>Mariska Riana Greeff-Laubscher; Kevin William Christison; Nicholas Jacobus Smit; Water Research Group Unit for Environmental Sciences and Management Potchefstroom Campus; Department of Agriculture, Forestry and Fisheries North West University Private Bag X6001 2520 Potchefstroom South Africa; Directorate Aquaculture Research and Biodiversity and Conservation Biology University of the Western Cape Private Bag X2 Private Bag X7 8018 7535 Vlaeberg Bellville Cape Town South Africa; South Africa; North West University Private Bag X6001 2520 Potchefstroom South Africa</x:v>
      </x:c>
      <x:c r="E35" s="19"/>
      <x:c r="F35" s="18" t="str">
        <x:v>First Record of the Water Mold Achlya bisexualis (Saprolegniaceae) Isolated from Ornamental Fish in South Africa</x:v>
      </x:c>
      <x:c r="G35" s="18" t="str">
        <x:v>10.1002/aah.10088</x:v>
      </x:c>
      <x:c r="H35" s="19" t="str">
        <x:v>IRRELEVANT</x:v>
      </x:c>
      <x:c r="I35" s="19" t="str">
        <x:v>判定无关</x:v>
      </x:c>
      <x:c r="J35" s="19" t="str">
        <x:v>否</x:v>
      </x:c>
      <x:c r="K35" s="19" t="n">
        <x:v>21</x:v>
      </x:c>
      <x:c r="L35" s="18" t="str">
        <x:v>The paper reports the first isolation and identification of Achlya bisexualis from ornamental fish in South Africa but does not test or discuss any compound, extract, pesticide, or derivative for activity against this or any other oomycete.</x:v>
      </x:c>
      <x:c r="M35" s="18" t="str"/>
      <x:c r="N35" s="19" t="str">
        <x:v>2026-06-05 16:40:54</x:v>
      </x:c>
      <x:c r="O35" s="19" t="str">
        <x:v>2026-06-05 16:40:55</x:v>
      </x:c>
    </x:row>
    <x:row r="36" ht="40.5" customHeight="1">
      <x:c r="A36" s="19" t="n">
        <x:v>35</x:v>
      </x:c>
      <x:c r="B36" s="18" t="str">
        <x:v>a071273d-a08e-47c0-a4a1-6038f98a461c</x:v>
      </x:c>
      <x:c r="C36" s="18" t="str">
        <x:v>Natural Allelic Variations in IbCHYR1-IbZnFR Complex Regulate Fusarium Root Rot Resistance in Sweet Potato</x:v>
      </x:c>
      <x:c r="D36" s="18" t="str">
        <x:v>Huan Zhang; Zhuoru Dai; Xiaochen Zhang; Meiqi Shang; Xiaoru Gao; Ruiqi Ma; Limeng Zhao; Xiaoli Zhang; Qingchang Liu; Hong Zhai; Shaopei Gao; Ning Zhao; Qinghe Cao; Qiang Li; Shaozhen He; X Zhang; Key Laboratory of Sweet Potato Biology and Biotechnology Ministry of Agriculture/Beijing Key Laboratory of Crop Genetic Improvement/Laboratory of Crop Heterosis and Utilization Ministry of Education College of Agronomy &amp; Biotechnology China Agricultural University 10093 Beijing China; Sanya Institute of China Agricultural University Sanya 572025 China; Beijing Plant Protection Station Beijing Xuzhou Institute of Agricultural Sciences in Jiangsu Xuhuai District Xuzhou 221131 100029 China</x:v>
      </x:c>
      <x:c r="E36" s="19" t="n">
        <x:v>2025</x:v>
      </x:c>
      <x:c r="F36" s="18" t="str">
        <x:v>Natural Allelic Variations in IbCHYR1-IbZnFR Complex Regulate Fusarium Root Rot Resistance in Sweet Potato</x:v>
      </x:c>
      <x:c r="G36" s="18" t="str">
        <x:v>10.1002/advs.202415202</x:v>
      </x:c>
      <x:c r="H36" s="19" t="str">
        <x:v>IRRELEVANT</x:v>
      </x:c>
      <x:c r="I36" s="19" t="str">
        <x:v>判定无关</x:v>
      </x:c>
      <x:c r="J36" s="19" t="str">
        <x:v>否</x:v>
      </x:c>
      <x:c r="K36" s="19" t="n">
        <x:v>36</x:v>
      </x:c>
      <x:c r="L36" s="18" t="str">
        <x:v>The paper exclusively investigates Fusarium species (e.g., F. foetens, F. oxysporum, F. solani), which are fungi, not oomycetes. No compounds or extracts are tested against oomycetes such as Phytophthora, Pythium, or related genera.</x:v>
      </x:c>
      <x:c r="M36" s="18" t="str"/>
      <x:c r="N36" s="19" t="str">
        <x:v>2026-06-05 16:40:55</x:v>
      </x:c>
      <x:c r="O36" s="19" t="str">
        <x:v>2026-06-05 16:40:59</x:v>
      </x:c>
    </x:row>
    <x:row r="37" ht="40.5" customHeight="1">
      <x:c r="A37" s="19" t="n">
        <x:v>36</x:v>
      </x:c>
      <x:c r="B37" s="18" t="str">
        <x:v>6175630e-237f-4e9a-8fd7-663c8eb7127d</x:v>
      </x:c>
      <x:c r="C37" s="18" t="str">
        <x:v>A Phase-Separated SR Protein Reprograms Host Pre-mRNA Splicing to Enhance Disease Susceptibility</x:v>
      </x:c>
      <x:c r="D37" s="18" t="str">
        <x:v>Dong Yan; Jie Huang; Fengqi Tian; Haidong Shu; Han Chen; Qian Peng; Hongwei Wu; Jianlong Zhao; Anireddy S N Reddy; Gang Li; Yuanchao Wang; Suomeng Dong; State Key Laboratory of Agricultural and Forestry Biosecurity College of Plant Protection The Plant Chemetics Laboratory Nanjing Agricultural University 210095 Nanjing China; Department of Biology University of Oxford OX1 3RB Oxford UK; State Key Laboratory of Vegetable Biobreeding Institute of Vegetables and Flowers Chinese Academy of Agricultural Sciences 100081 Beijing China; Department of Biology and Program in Cell and Molecular Biology Colorado State University Fort Collins 80523 CO USA</x:v>
      </x:c>
      <x:c r="E37" s="19" t="n">
        <x:v>2025</x:v>
      </x:c>
      <x:c r="F37" s="18" t="str">
        <x:v>A Phase-Separated SR Protein Reprograms Host Pre-mRNA Splicing to Enhance Disease Susceptibility</x:v>
      </x:c>
      <x:c r="G37" s="18" t="str">
        <x:v>10.1002/advs.202500072</x:v>
      </x:c>
      <x:c r="H37" s="19" t="str">
        <x:v>IRRELEVANT</x:v>
      </x:c>
      <x:c r="I37" s="19" t="str">
        <x:v>判定无关</x:v>
      </x:c>
      <x:c r="J37" s="19" t="str">
        <x:v>否</x:v>
      </x:c>
      <x:c r="K37" s="19" t="n">
        <x:v>34</x:v>
      </x:c>
      <x:c r="L37" s="18" t="str">
        <x:v>The paper investigates a host splicing factor (SR30) that modulates tomato susceptibility to oomycetes like Phytophthora infestans, but does not test or discuss any compound, extract, pesticide, or chemical agent for activity against oomycetes.</x:v>
      </x:c>
      <x:c r="M37" s="18" t="str"/>
      <x:c r="N37" s="19" t="str">
        <x:v>2026-06-05 16:40:59</x:v>
      </x:c>
      <x:c r="O37" s="19" t="str">
        <x:v>2026-06-05 16:41:02</x:v>
      </x:c>
    </x:row>
    <x:row r="38" ht="40.5" customHeight="1">
      <x:c r="A38" s="19" t="n">
        <x:v>37</x:v>
      </x:c>
      <x:c r="B38" s="18" t="str">
        <x:v>700059da-8ee0-4e31-996b-6780d31e5ad7</x:v>
      </x:c>
      <x:c r="C38" s="18" t="str">
        <x:v>Abiotic Factors and Plant Communities Shape the Distribution of Soil Pathogenic Oomycetes in Chinese Grasslands</x:v>
      </x:c>
      <x:c r="D38" s="18" t="str">
        <x:v>Junsheng Ke; Chen Zhu; Peixi Jiang; Peng Zhang; Kui Hu; Yilin Dang; Yao Xiao; Mu Liu; Huiying Liu; Xiang Liu; Ville-Petri Friman; V.-P Friman; College of Ecology Lanzhou University Lanzhou State Key Laboratory of Herbage Improvement and Grassland Agro-Ecosystems 730000 Gansu China; Key Laboratory of Biology Genetics and breeding of Special Economic Animals and Plants Ministry of Agriculture and Rural Affairs Tea Research Institute Chinese Academy of Agricultural Sciences Hangzhou Xi hu National Agricultural Experimental Station for Soil Quality Hangzhou 310008 310008 China; H. Liu Zhejiang Processes and Eco-Restoration School of Ecological and Environmental Sciences East Ecosystem Research The Shanghai Key Lab for Urban Ecological Tiantong National Station for Forest China Normal University 200241 Shanghai China; Institute of Eco-Chongming (IEC) East China Normal University 202162 Shanghai China; Department of Microbiology University of Helsinki Viikinkaari 9 00014 Helsinki Finland</x:v>
      </x:c>
      <x:c r="E38" s="19" t="n">
        <x:v>2025</x:v>
      </x:c>
      <x:c r="F38" s="18" t="str">
        <x:v>Abiotic Factors and Plant Communities Shape the Distribution of Soil Pathogenic Oomycetes in Chinese Grasslands</x:v>
      </x:c>
      <x:c r="G38" s="18" t="str">
        <x:v>10.1002/advs.202501994</x:v>
      </x:c>
      <x:c r="H38" s="19" t="str">
        <x:v>IRRELEVANT</x:v>
      </x:c>
      <x:c r="I38" s="19" t="str">
        <x:v>判定无关</x:v>
      </x:c>
      <x:c r="J38" s="19" t="str">
        <x:v>否</x:v>
      </x:c>
      <x:c r="K38" s="19" t="n">
        <x:v>30</x:v>
      </x:c>
      <x:c r="L38" s="18" t="str">
        <x:v>The paper focuses on ecological distribution, diversity, and environmental drivers of soil pathogenic oomycetes in natural grasslands. It does not report or discuss any compounds, extracts, pesticides, or derivatives tested for activity against oomycetes.</x:v>
      </x:c>
      <x:c r="M38" s="18" t="str"/>
      <x:c r="N38" s="19" t="str">
        <x:v>2026-06-05 16:41:02</x:v>
      </x:c>
      <x:c r="O38" s="19" t="str">
        <x:v>2026-06-05 16:41:04</x:v>
      </x:c>
    </x:row>
    <x:row r="39" ht="40.5" customHeight="1">
      <x:c r="A39" s="19" t="n">
        <x:v>38</x:v>
      </x:c>
      <x:c r="B39" s="18" t="str">
        <x:v>f61bd8b5-b334-4c0c-b052-bc28651078bb</x:v>
      </x:c>
      <x:c r="C39" s="18" t="str">
        <x:v>Phytophthora Disrupts Plant Immunity by Manipulating Nitric Oxide Homeostasis Through GSNOR Inhibition</x:v>
      </x:c>
      <x:c r="D39" s="18" t="str">
        <x:v>Tingting Li; Jing Kang; Haizhu Zhang; Lina Wang; Minghui Lu; Lin Cai; Jianming Li; Matthieu H A J Joosten; Yu Du; High-Efficiency Production College of Horticulture Northwest A&amp;F University Yangling State Key Laboratory for Crop Stress Resistance 712100 Shaanxi China; College of Tobacco Science Key laboratory of Plant Resource Conservation and Germplasm Innovation in Mountainous Region (Ministry of Education)/Guizhou Key Lab of Agro-Bioengineering Guiyang 550000 Guizhou University China; Laboratory of Phytopathology Wageningen University Droevendaalsesteeg 1 6708 PB Wageningen the Netherlands</x:v>
      </x:c>
      <x:c r="E39" s="19" t="n">
        <x:v>2025</x:v>
      </x:c>
      <x:c r="F39" s="18" t="str">
        <x:v>Phytophthora Disrupts Plant Immunity by Manipulating Nitric Oxide Homeostasis Through GSNOR Inhibition</x:v>
      </x:c>
      <x:c r="G39" s="18" t="str">
        <x:v>10.1002/advs.202503633</x:v>
      </x:c>
      <x:c r="H39" s="19" t="str">
        <x:v>IRRELEVANT</x:v>
      </x:c>
      <x:c r="I39" s="19" t="str">
        <x:v>判定无关</x:v>
      </x:c>
      <x:c r="J39" s="19" t="str">
        <x:v>否</x:v>
      </x:c>
      <x:c r="K39" s="19" t="n">
        <x:v>41</x:v>
      </x:c>
      <x:c r="L39" s="18" t="str">
        <x:v>The paper investigates how the Phytophthora effector PcRD18 suppresses plant immunity by targeting the host enzyme GSNOR to disrupt nitric oxide homeostasis and increase protein S-nitrosylation. It does not test or discuss any exogenous compound, extract, pesticide, or chemical derivative for activity against oomycetes. All experiments focus on host-pathogen molecular interactions, genetic manipulation, and immune responses—not on antimicrobial compounds.</x:v>
      </x:c>
      <x:c r="M39" s="18" t="str"/>
      <x:c r="N39" s="19" t="str">
        <x:v>2026-06-05 16:41:04</x:v>
      </x:c>
      <x:c r="O39" s="19" t="str">
        <x:v>2026-06-05 16:41:09</x:v>
      </x:c>
    </x:row>
    <x:row r="40" ht="40.5" customHeight="1">
      <x:c r="A40" s="19" t="n">
        <x:v>39</x:v>
      </x:c>
      <x:c r="B40" s="18" t="str">
        <x:v>89fdb49c-fe57-42fa-bf97-a972cb63b46c</x:v>
      </x:c>
      <x:c r="C40"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40" s="18" t="str">
        <x:v>PhD Huijuan Yang; BS Yuning Zhang; Hongzhi Shi; College of Tobacco Science Henan Agricultural University No. 95 Wenhua Road, Zhengzhou Henan Province 450002 P.R. China</x:v>
      </x:c>
      <x:c r="E40" s="19"/>
      <x:c r="F40"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40" s="18" t="str">
        <x:v>10.1002/agj2.20368</x:v>
      </x:c>
      <x:c r="H40" s="19" t="str">
        <x:v>FAILED</x:v>
      </x:c>
      <x:c r="I40" s="19" t="str">
        <x:v>处理失败</x:v>
      </x:c>
      <x:c r="J40" s="19" t="str">
        <x:v>是</x:v>
      </x:c>
      <x:c r="K40" s="19" t="n">
        <x:v>32</x:v>
      </x:c>
      <x:c r="L40" s="18" t="str">
        <x:v>Markdown table synthesis failed after 3 attempts: Data row 2 must contain 16 cells</x:v>
      </x:c>
      <x:c r="M40" s="18" t="str"/>
      <x:c r="N40" s="19" t="str">
        <x:v>2026-06-05 16:41:09</x:v>
      </x:c>
      <x:c r="O40" s="19" t="str">
        <x:v>2026-06-05 16:41:36</x:v>
      </x:c>
    </x:row>
    <x:row r="41" ht="40.5" customHeight="1">
      <x:c r="A41" s="19" t="n">
        <x:v>40</x:v>
      </x:c>
      <x:c r="B41" s="18" t="str">
        <x:v>8d6ef8b7-c80c-4093-b585-523aae64d507</x:v>
      </x:c>
      <x:c r="C41"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41" s="18" t="str">
        <x:v>Grant Lawson Priess; Jason K Norsworthy; Trenton L Roberts; Terry N Spurlock; Edward E Gbur; Division of Agriculture Agricultural Statistics Laboratory University of Arkansas Monticello 71656 Monticello AR Fifth; Altheimer Laboratory University of Arkansas 72701 1366 Fayetteville West AR</x:v>
      </x:c>
      <x:c r="E41" s="19"/>
      <x:c r="F41"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41" s="18" t="str">
        <x:v>10.1002/agj2.20396</x:v>
      </x:c>
      <x:c r="H41" s="19" t="str">
        <x:v>SUMMARIZED</x:v>
      </x:c>
      <x:c r="I41" s="19" t="str">
        <x:v>成功总结</x:v>
      </x:c>
      <x:c r="J41" s="19" t="str">
        <x:v>是</x:v>
      </x:c>
      <x:c r="K41" s="19" t="n">
        <x:v>20</x:v>
      </x:c>
      <x:c r="L41" s="18" t="str">
        <x:v>The paper reports experimental testing of metribuzin against Pythium, an oomycete, and includes isolation and identification of Pythium from soybean stems in field trials, with analysis of whether metribuzin affects its colonization.</x:v>
      </x:c>
      <x:c r="M41" s="18" t="str">
        <x:v>D:\Project\ai_coding_platform\demo_01\data\rag-evaluation\efe44f92-8d28-4902-bf77-a15d3bf14ee8\papers\8d6ef8b7-c80c-4093-b585-523aae64d507.md</x:v>
      </x:c>
      <x:c r="N41" s="19" t="str">
        <x:v>2026-06-05 16:41:36</x:v>
      </x:c>
      <x:c r="O41" s="19" t="str">
        <x:v>2026-06-05 16:41:56</x:v>
      </x:c>
    </x:row>
    <x:row r="42" ht="40.5" customHeight="1">
      <x:c r="A42" s="19" t="n">
        <x:v>41</x:v>
      </x:c>
      <x:c r="B42" s="18" t="str">
        <x:v>176dcccf-b50a-4c57-af54-a7cf855ec763</x:v>
      </x:c>
      <x:c r="C42" s="18" t="str">
        <x:v>Consumer Willingness-to-Pay for Genetically Modified Potatoes in Ireland: An Experimental Auction Approach</x:v>
      </x:c>
      <x:c r="D42" s="18" t="str">
        <x:v>Fiona Thorne; Sean Fox; Ewen Mullins; Michael Wallace</x:v>
      </x:c>
      <x:c r="E42" s="19"/>
      <x:c r="F42" s="18" t="str">
        <x:v>Consumer Willingness-to-Pay for Genetically Modified Potatoes in Ireland: An Experimental Auction Approach</x:v>
      </x:c>
      <x:c r="G42" s="18" t="str">
        <x:v>10.1002/agr</x:v>
      </x:c>
      <x:c r="H42" s="19" t="str">
        <x:v>IRRELEVANT</x:v>
      </x:c>
      <x:c r="I42" s="19" t="str">
        <x:v>判定无关</x:v>
      </x:c>
      <x:c r="J42" s="19" t="str">
        <x:v>否</x:v>
      </x:c>
      <x:c r="K42" s="19" t="n">
        <x:v>22</x:v>
      </x:c>
      <x:c r="L42" s="18" t="str">
        <x:v>The paper focuses on consumer willingness-to-pay for genetically modified potatoes resistant to late blight (Phytophthora infestans) but does not report or discuss any compound, extract, pesticide, or chemical tested for activity against oomycetes. It addresses GM crop acceptance, fungicide use reduction, and market behavior, not experimental anti-oomycete agents.</x:v>
      </x:c>
      <x:c r="M42" s="18" t="str"/>
      <x:c r="N42" s="19" t="str">
        <x:v>2026-06-05 16:41:56</x:v>
      </x:c>
      <x:c r="O42" s="19" t="str">
        <x:v>2026-06-05 16:41:59</x:v>
      </x:c>
    </x:row>
    <x:row r="43" ht="40.5" customHeight="1">
      <x:c r="A43" s="19" t="n">
        <x:v>42</x:v>
      </x:c>
      <x:c r="B43" s="18" t="str">
        <x:v>b972f93e-ac15-4c4f-a464-09e4b3a2308a</x:v>
      </x:c>
      <x:c r="C43" s="18" t="str">
        <x:v>10.1002_chin.201437128</x:v>
      </x:c>
      <x:c r="D43" s="18" t="str"/>
      <x:c r="E43" s="19"/>
      <x:c r="F43" s="18" t="str"/>
      <x:c r="G43" s="18" t="str">
        <x:v>10.1002/chin.201437128</x:v>
      </x:c>
      <x:c r="H43" s="19" t="str">
        <x:v>NO_CHUNKS</x:v>
      </x:c>
      <x:c r="I43" s="19" t="str">
        <x:v>缺少 chunks</x:v>
      </x:c>
      <x:c r="J43" s="19" t="str"/>
      <x:c r="K43" s="19" t="n">
        <x:v>0</x:v>
      </x:c>
      <x:c r="L43" s="18" t="str">
        <x:v>No chunks available in vector storage or document.jsonl.</x:v>
      </x:c>
      <x:c r="M43" s="18" t="str"/>
      <x:c r="N43" s="19" t="str">
        <x:v>2026-06-05 16:41:59</x:v>
      </x:c>
      <x:c r="O43" s="19" t="str">
        <x:v>2026-06-05 16:41:59</x:v>
      </x:c>
    </x:row>
    <x:row r="44" ht="40.5" customHeight="1">
      <x:c r="A44" s="19" t="n">
        <x:v>43</x:v>
      </x:c>
      <x:c r="B44" s="18" t="str">
        <x:v>323081cc-fcf4-48fc-8962-07c387cc1dbd</x:v>
      </x:c>
      <x:c r="C44"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44" s="18" t="str">
        <x:v>Jeffrey M Hegstad; Adam P Gaspar; Lizhi Feng; Karen Lackermann; Ashley Hudson; Mark Howieson</x:v>
      </x:c>
      <x:c r="E44" s="19"/>
      <x:c r="F44"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44" s="18" t="str">
        <x:v>10.1002/agj2.20866</x:v>
      </x:c>
      <x:c r="H44" s="19" t="str">
        <x:v>FAILED</x:v>
      </x:c>
      <x:c r="I44" s="19" t="str">
        <x:v>处理失败</x:v>
      </x:c>
      <x:c r="J44" s="19" t="str">
        <x:v>是</x:v>
      </x:c>
      <x:c r="K44" s="19" t="n">
        <x:v>26</x:v>
      </x:c>
      <x:c r="L44" s="18" t="str">
        <x:v>Markdown table synthesis failed after 3 attempts: Missing values must use empty cells</x:v>
      </x:c>
      <x:c r="M44" s="18" t="str"/>
      <x:c r="N44" s="19" t="str">
        <x:v>2026-06-05 16:41:59</x:v>
      </x:c>
      <x:c r="O44" s="19" t="str">
        <x:v>2026-06-05 16:42:42</x:v>
      </x:c>
    </x:row>
    <x:row r="45" ht="40.5" customHeight="1">
      <x:c r="A45" s="19" t="n">
        <x:v>44</x:v>
      </x:c>
      <x:c r="B45" s="18" t="str">
        <x:v>a5ab9786-170b-4e62-bf1c-22ad2bc22d81</x:v>
      </x:c>
      <x:c r="C45" s="18" t="str">
        <x:v>Studies of Aquatic Fungi. Part XXII. Mycoflora of the River Wegorapa and its Tributary, the River Goldapa-Jarka</x:v>
      </x:c>
      <x:c r="D45" s="18" t="str">
        <x:v>B Czeczuca</x:v>
      </x:c>
      <x:c r="E45" s="19"/>
      <x:c r="F45" s="18" t="str">
        <x:v>Studies of Aquatic Fungi. Part XXII. Mycoflora of the River Wegorapa and its Tributary, the River Goldapa-Jarka</x:v>
      </x:c>
      <x:c r="G45" s="18" t="str"/>
      <x:c r="H45" s="19" t="str">
        <x:v>IRRELEVANT</x:v>
      </x:c>
      <x:c r="I45" s="19" t="str">
        <x:v>判定无关</x:v>
      </x:c>
      <x:c r="J45" s="19" t="str">
        <x:v>否</x:v>
      </x:c>
      <x:c r="K45" s="19" t="n">
        <x:v>20</x:v>
      </x:c>
      <x:c r="L45" s="18" t="str">
        <x:v>The paper documents the natural occurrence and ecology of aquatic fungi, including oomycetes like Pythium and Aphanomyces, but does not test or discuss any compounds, extracts, pesticides, or derivatives for activity against oomycetes.</x:v>
      </x:c>
      <x:c r="M45" s="18" t="str"/>
      <x:c r="N45" s="19" t="str">
        <x:v>2026-06-05 16:42:42</x:v>
      </x:c>
      <x:c r="O45" s="19" t="str">
        <x:v>2026-06-05 16:42:45</x:v>
      </x:c>
    </x:row>
    <x:row r="46" ht="40.5" customHeight="1">
      <x:c r="A46" s="19" t="n">
        <x:v>45</x:v>
      </x:c>
      <x:c r="B46" s="18" t="str">
        <x:v>09da3cc6-d3b6-4483-8c48-58ffb2cf7f29</x:v>
      </x:c>
      <x:c r="C46" s="18" t="str">
        <x:v>Biodiversität und Ökologie aquatischer</x:v>
      </x:c>
      <x:c r="D46" s="18" t="str">
        <x:v>Alexandra Riethmüller; Ewald Langer; Fachgebiet Ökologie; Heinrich-Plett-Str 40; im Auesee</x:v>
      </x:c>
      <x:c r="E46" s="19"/>
      <x:c r="F46" s="18" t="str">
        <x:v>Biodiversität und Ökologie aquatischer</x:v>
      </x:c>
      <x:c r="G46" s="18" t="str">
        <x:v>10.1002/aheh.200400565</x:v>
      </x:c>
      <x:c r="H46" s="19" t="str">
        <x:v>IRRELEVANT</x:v>
      </x:c>
      <x:c r="I46" s="19" t="str">
        <x:v>判定无关</x:v>
      </x:c>
      <x:c r="J46" s="19" t="str">
        <x:v>否</x:v>
      </x:c>
      <x:c r="K46" s="19" t="n">
        <x:v>12</x:v>
      </x:c>
      <x:c r="L46" s="18" t="str">
        <x:v>The paper focuses on biodiversity, ecology, and water quality assessment of aquatic oomycetes, with no mention of testing compounds, extracts, pesticides, or derivatives for activity against oomycetes.</x:v>
      </x:c>
      <x:c r="M46" s="18" t="str"/>
      <x:c r="N46" s="19" t="str">
        <x:v>2026-06-05 16:42:45</x:v>
      </x:c>
      <x:c r="O46" s="19" t="str">
        <x:v>2026-06-05 16:42:47</x:v>
      </x:c>
    </x:row>
    <x:row r="47" ht="40.5" customHeight="1">
      <x:c r="A47" s="19" t="n">
        <x:v>46</x:v>
      </x:c>
      <x:c r="B47" s="18" t="str">
        <x:v>a9182fa4-3137-4cd2-91b6-6508bab8b56e</x:v>
      </x:c>
      <x:c r="C47" s="18" t="str">
        <x:v>10.1002_anie.199116811</x:v>
      </x:c>
      <x:c r="D47" s="18" t="str">
        <x:v>Dr H G Lerchen Bayer; Zentrale Forschung; W-5090 Qls; Dr H.-P Leverkusen; A G Kroll Bayer</x:v>
      </x:c>
      <x:c r="E47" s="19"/>
      <x:c r="F47" s="18" t="str"/>
      <x:c r="G47" s="18" t="str"/>
      <x:c r="H47" s="19" t="str">
        <x:v>IRRELEVANT</x:v>
      </x:c>
      <x:c r="I47" s="19" t="str">
        <x:v>判定无关</x:v>
      </x:c>
      <x:c r="J47" s="19" t="str">
        <x:v>否</x:v>
      </x:c>
      <x:c r="K47" s="19" t="n">
        <x:v>5</x:v>
      </x:c>
      <x:c r="L47" s="18" t="str">
        <x:v>The paper describes synthesis of a heptaglucan elicitor active in the soybean/Phytophthora megasperma system, but focuses on plant defense mechanisms and oligosaccharide chemistry, not on testing compounds for direct anti-oomycete activity.</x:v>
      </x:c>
      <x:c r="M47" s="18" t="str"/>
      <x:c r="N47" s="19" t="str">
        <x:v>2026-06-05 16:42:47</x:v>
      </x:c>
      <x:c r="O47" s="19" t="str">
        <x:v>2026-06-05 16:42:49</x:v>
      </x:c>
    </x:row>
    <x:row r="48" ht="40.5" customHeight="1">
      <x:c r="A48" s="19" t="n">
        <x:v>47</x:v>
      </x:c>
      <x:c r="B48" s="18" t="str">
        <x:v>96fb667d-56ea-416b-8f67-0b23be7b6520</x:v>
      </x:c>
      <x:c r="C48" s="18" t="str">
        <x:v>OF ORGANIC CHEMISTRY</x:v>
      </x:c>
      <x:c r="D48" s="18" t="str">
        <x:v>Zhi-Lin Ren; Lei Su; Shuang Cai; Wen-Ting Lu; Yue Qiao; Ping He; Ming-Wu Ding; College of Chemical Engineering Hubei University of Arts and Science 441053 Xiangyang Hubei Province P. R. of China; Key Laboratory of Pesticide &amp; Chemical Biology of Ministry of Education Central China Normal University 430079 Wuhan P. R. China</x:v>
      </x:c>
      <x:c r="E48" s="19"/>
      <x:c r="F48" s="18" t="str">
        <x:v>OF ORGANIC CHEMISTRY</x:v>
      </x:c>
      <x:c r="G48" s="18" t="str">
        <x:v>10.1002/ajoc.201900291</x:v>
      </x:c>
      <x:c r="H48" s="19" t="str">
        <x:v>SUMMARIZED</x:v>
      </x:c>
      <x:c r="I48" s="19" t="str">
        <x:v>成功总结</x:v>
      </x:c>
      <x:c r="J48" s="19" t="str">
        <x:v>是</x:v>
      </x:c>
      <x:c r="K48" s="19" t="n">
        <x:v>9</x:v>
      </x:c>
      <x:c r="L48" s="18" t="str">
        <x:v>The paper reports testing of synthesized pyridine derivatives (compounds 8a–8r) for activity against Pythium dissimile, an oomycete, using mycelial growth inhibition assays at 20 ppm and 100 ppm.</x:v>
      </x:c>
      <x:c r="M48" s="18" t="str">
        <x:v>D:\Project\ai_coding_platform\demo_01\data\rag-evaluation\efe44f92-8d28-4902-bf77-a15d3bf14ee8\papers\96fb667d-56ea-416b-8f67-0b23be7b6520.md</x:v>
      </x:c>
      <x:c r="N48" s="19" t="str">
        <x:v>2026-06-05 16:42:49</x:v>
      </x:c>
      <x:c r="O48" s="19" t="str">
        <x:v>2026-06-05 16:44:16</x:v>
      </x:c>
    </x:row>
    <x:row r="49" ht="40.5" customHeight="1">
      <x:c r="A49" s="19" t="n">
        <x:v>48</x:v>
      </x:c>
      <x:c r="B49" s="18" t="str">
        <x:v>816f065b-0713-4013-895b-37d12b420719</x:v>
      </x:c>
      <x:c r="C49" s="18" t="str">
        <x:v>Short Stereoselective Synthesis of the Phytophthora Universal Mating Hormone Alpha 1 using Lithiation/Borylation Reactions**</x:v>
      </x:c>
      <x:c r="D49" s="18" t="str">
        <x:v>Dr Alexander P Pulis; Dr Philipp Fackler; Varinder K Aggarwal; Prof. V K Aggarwal</x:v>
      </x:c>
      <x:c r="E49" s="19"/>
      <x:c r="F49" s="18" t="str">
        <x:v>Short Stereoselective Synthesis of the Phytophthora Universal Mating Hormone Alpha 1 using Lithiation/Borylation Reactions**</x:v>
      </x:c>
      <x:c r="G49" s="18" t="str">
        <x:v>10.1002/anie.201400714</x:v>
      </x:c>
      <x:c r="H49" s="19" t="str">
        <x:v>SUMMARIZED</x:v>
      </x:c>
      <x:c r="I49" s="19" t="str">
        <x:v>成功总结</x:v>
      </x:c>
      <x:c r="J49" s="19" t="str">
        <x:v>是</x:v>
      </x:c>
      <x:c r="K49" s="19" t="n">
        <x:v>7</x:v>
      </x:c>
      <x:c r="L49" s="18" t="str">
        <x:v>The paper reports the synthesis of the Phytophthora universal mating hormone alpha 1, a compound that induces oospore formation in Phytophthora (an oomycete), and references oospore-inducing assays used to confirm its activity.</x:v>
      </x:c>
      <x:c r="M49" s="18" t="str">
        <x:v>D:\Project\ai_coding_platform\demo_01\data\rag-evaluation\efe44f92-8d28-4902-bf77-a15d3bf14ee8\papers\816f065b-0713-4013-895b-37d12b420719.md</x:v>
      </x:c>
      <x:c r="N49" s="19" t="str">
        <x:v>2026-06-05 16:44:16</x:v>
      </x:c>
      <x:c r="O49" s="19" t="str">
        <x:v>2026-06-05 16:44:20</x:v>
      </x:c>
    </x:row>
    <x:row r="50" ht="40.5" customHeight="1">
      <x:c r="A50" s="19" t="n">
        <x:v>49</x:v>
      </x:c>
      <x:c r="B50" s="18" t="str">
        <x:v>1fb59cc0-35cc-43b4-accd-b65a9f08d5b8</x:v>
      </x:c>
      <x:c r="C50" s="18" t="str">
        <x:v>Structure and Antimicrobial Activity Relationship of Quaternary N-Alkyl Chitosan Derivatives Against Some Plant Pathogens</x:v>
      </x:c>
      <x:c r="D50" s="18" t="str">
        <x:v>Mohamed E I Badawy</x:v>
      </x:c>
      <x:c r="E50" s="19" t="n">
        <x:v>2010</x:v>
      </x:c>
      <x:c r="F50" s="18" t="str">
        <x:v>Structure and Antimicrobial Activity Relationship of Quaternary N-Alkyl Chitosan Derivatives Against Some Plant Pathogens</x:v>
      </x:c>
      <x:c r="G50" s="18" t="str">
        <x:v>10.1002/app.31492</x:v>
      </x:c>
      <x:c r="H50" s="19" t="str">
        <x:v>SUMMARIZED</x:v>
      </x:c>
      <x:c r="I50" s="19" t="str">
        <x:v>成功总结</x:v>
      </x:c>
      <x:c r="J50" s="19" t="str">
        <x:v>是</x:v>
      </x:c>
      <x:c r="K50" s="19" t="n">
        <x:v>22</x:v>
      </x:c>
      <x:c r="L50" s="18" t="str">
        <x:v>The paper reports experimental testing of quaternary N-alkyl chitosan derivatives against Pythium debaryanum, which is explicitly identified as an oomycete (Family: Pythiaceae; Class: Oomycetes). Antifungal assays include mycelial growth inhibition and EC50 determination for this organism.</x:v>
      </x:c>
      <x:c r="M50" s="18" t="str">
        <x:v>D:\Project\ai_coding_platform\demo_01\data\rag-evaluation\efe44f92-8d28-4902-bf77-a15d3bf14ee8\papers\1fb59cc0-35cc-43b4-accd-b65a9f08d5b8.md</x:v>
      </x:c>
      <x:c r="N50" s="19" t="str">
        <x:v>2026-06-05 16:44:20</x:v>
      </x:c>
      <x:c r="O50" s="19" t="str">
        <x:v>2026-06-05 16:45:18</x:v>
      </x:c>
    </x:row>
    <x:row r="51" ht="40.5" customHeight="1">
      <x:c r="A51" s="19" t="n">
        <x:v>50</x:v>
      </x:c>
      <x:c r="B51" s="18" t="str">
        <x:v>f7f502cd-2ed0-499f-bcc8-330fa133ebda</x:v>
      </x:c>
      <x:c r="C51" s="18" t="str">
        <x:v>A machine learning algorithm for the automatic classification of Phytophthora infestans genotypes into clonal lineages</x:v>
      </x:c>
      <x:c r="D51" s="18" t="str">
        <x:v>Camilo Patarroyo; Stéphane Dupas; Silvia Restrepo; Department of Biological Sciences Universidad de los Andes Bogotá Colombia</x:v>
      </x:c>
      <x:c r="E51" s="19"/>
      <x:c r="F51" s="18" t="str">
        <x:v>A machine learning algorithm for the automatic classification of Phytophthora infestans genotypes into clonal lineages</x:v>
      </x:c>
      <x:c r="G51" s="18" t="str">
        <x:v>10.1002/aps3.11603</x:v>
      </x:c>
      <x:c r="H51" s="19" t="str">
        <x:v>IRRELEVANT</x:v>
      </x:c>
      <x:c r="I51" s="19" t="str">
        <x:v>判定无关</x:v>
      </x:c>
      <x:c r="J51" s="19" t="str">
        <x:v>否</x:v>
      </x:c>
      <x:c r="K51" s="19" t="n">
        <x:v>22</x:v>
      </x:c>
      <x:c r="L51" s="18" t="str">
        <x:v>The paper focuses exclusively on machine learning methods for classifying Phytophthora infestans genotypes into clonal lineages using microsatellite data. It does not report or discuss any compounds, extracts, pesticides, or derivatives tested for activity against P. infestans or any other oomycete.</x:v>
      </x:c>
      <x:c r="M51" s="18" t="str"/>
      <x:c r="N51" s="19" t="str">
        <x:v>2026-06-05 16:45:18</x:v>
      </x:c>
      <x:c r="O51" s="19" t="str">
        <x:v>2026-06-05 16:45:20</x:v>
      </x:c>
    </x:row>
    <x:row r="52" ht="40.5" customHeight="1">
      <x:c r="A52" s="19" t="n">
        <x:v>51</x:v>
      </x:c>
      <x:c r="B52" s="18" t="str">
        <x:v>0f58c805-2def-489d-9d52-d5b9397c6342</x:v>
      </x:c>
      <x:c r="C52" s="18" t="str">
        <x:v>Prospects for management strategies of invasive crayfish populations with an emphasis on biological control</x:v>
      </x:c>
      <x:c r="D52" s="18" t="str">
        <x:v>Mark A Freeman; J F Turnbull; W E Yeomans; C W Bean; Institute of Aquaculture University of Stirling FK9 4LA Scotland UK; University of Malaya 50603 Kuala Lumpur Malaysia</x:v>
      </x:c>
      <x:c r="E52" s="19" t="n">
        <x:v>2009</x:v>
      </x:c>
      <x:c r="F52" s="18" t="str">
        <x:v>Prospects for management strategies of invasive crayfish populations with an emphasis on biological control</x:v>
      </x:c>
      <x:c r="G52" s="18" t="str">
        <x:v>10.1002/aqc.1065</x:v>
      </x:c>
      <x:c r="H52" s="19" t="str">
        <x:v>IRRELEVANT</x:v>
      </x:c>
      <x:c r="I52" s="19" t="str">
        <x:v>判定无关</x:v>
      </x:c>
      <x:c r="J52" s="19" t="str">
        <x:v>否</x:v>
      </x:c>
      <x:c r="K52" s="19" t="n">
        <x:v>31</x:v>
      </x:c>
      <x:c r="L52" s="18" t="str">
        <x:v>The paper discusses oomycetes (specifically Aphanomyces astaci) only as pathogens of crayfish, not as targets of anti-oomycete compounds. No compound is tested for activity against any oomycete.</x:v>
      </x:c>
      <x:c r="M52" s="18" t="str"/>
      <x:c r="N52" s="19" t="str">
        <x:v>2026-06-05 16:45:20</x:v>
      </x:c>
      <x:c r="O52" s="19" t="str">
        <x:v>2026-06-05 16:45:23</x:v>
      </x:c>
    </x:row>
    <x:row r="53" ht="40.5" customHeight="1">
      <x:c r="A53" s="19" t="n">
        <x:v>52</x:v>
      </x:c>
      <x:c r="B53" s="18" t="str">
        <x:v>35c076bf-32ef-444e-86e2-f39458bc8deb</x:v>
      </x:c>
      <x:c r="C53" s="18" t="str">
        <x:v>The relationship between water quality and indigenous and alien crayfish distribution in the Czech Republic: patterns and conservation implications</x:v>
      </x:c>
      <x:c r="D53" s="18" t="str">
        <x:v>Jitka Svobodová; Karel Douda; Monika Štambergová; Ji Rí Picek; Pavel Vlach; David G Fischer; Masaryk; T G Masaryk; Water Research Institute Podbabská 30 160 62 Prague 6 Czech Republic</x:v>
      </x:c>
      <x:c r="E53" s="19"/>
      <x:c r="F53" s="18" t="str">
        <x:v>The relationship between water quality and indigenous and alien crayfish distribution in the Czech Republic: patterns and conservation implications</x:v>
      </x:c>
      <x:c r="G53" s="18" t="str">
        <x:v>10.1002/aqc.2262</x:v>
      </x:c>
      <x:c r="H53" s="19" t="str">
        <x:v>IRRELEVANT</x:v>
      </x:c>
      <x:c r="I53" s="19" t="str">
        <x:v>判定无关</x:v>
      </x:c>
      <x:c r="J53" s="19" t="str">
        <x:v>否</x:v>
      </x:c>
      <x:c r="K53" s="19" t="n">
        <x:v>17</x:v>
      </x:c>
      <x:c r="L53" s="18" t="str">
        <x:v>The paper discusses the oomycete Aphanomyces astaci as a pathogen causing crayfish plague but does not report or discuss any compounds, extracts, pesticides, or derivatives tested for activity against this or any other oomycete.</x:v>
      </x:c>
      <x:c r="M53" s="18" t="str"/>
      <x:c r="N53" s="19" t="str">
        <x:v>2026-06-05 16:45:23</x:v>
      </x:c>
      <x:c r="O53" s="19" t="str">
        <x:v>2026-06-05 16:45:26</x:v>
      </x:c>
    </x:row>
    <x:row r="54" ht="40.5" customHeight="1">
      <x:c r="A54" s="19" t="n">
        <x:v>53</x:v>
      </x:c>
      <x:c r="B54" s="18" t="str">
        <x:v>8d2355ad-1c63-4215-bfd6-ba76cc00c706</x:v>
      </x:c>
      <x:c r="C54" s="18" t="str">
        <x:v>Novel acyl thiourea derivatives: Synthesis, antifungal activity, gene toxicity, drug-like and molecular docking screening</x:v>
      </x:c>
      <x:c r="D54" s="18" t="str">
        <x:v>Lyudmyla Antypenko; Fatuma Meyer; Olena Kholodniak; | Zhanar Sadykova; Tereza Jirásková; Anastasiia Troianova; | Vladlena Buhaiova; Surui Cao; Sergiy Kovalenko; Leif-Alexander Garbe; Karl G Steffens; Department of Food and Bioproduct Technology Neubrandenburg University Brodaer Str. 2 17033 Neubrandenburg Germany</x:v>
      </x:c>
      <x:c r="E54" s="19"/>
      <x:c r="F54" s="18" t="str">
        <x:v>Novel acyl thiourea derivatives: Synthesis, antifungal activity, gene toxicity, drug-like and molecular docking screening</x:v>
      </x:c>
      <x:c r="G54" s="18" t="str">
        <x:v>10.1002/ardp.201800275</x:v>
      </x:c>
      <x:c r="H54" s="19" t="str">
        <x:v>SUMMARIZED</x:v>
      </x:c>
      <x:c r="I54" s="19" t="str">
        <x:v>成功总结</x:v>
      </x:c>
      <x:c r="J54" s="19" t="str">
        <x:v>是</x:v>
      </x:c>
      <x:c r="K54" s="19" t="n">
        <x:v>29</x:v>
      </x:c>
      <x:c r="L54" s="18" t="str">
        <x:v>The paper reports antifungal activity testing of acyl thiourea derivatives against Phytophthora infestans (strains GL-1, p-3, and p-4), which is an oomycete. Table 1 and the Antifungal activity section explicitly include results for these Phytophthora strains.</x:v>
      </x:c>
      <x:c r="M54" s="18" t="str">
        <x:v>D:\Project\ai_coding_platform\demo_01\data\rag-evaluation\efe44f92-8d28-4902-bf77-a15d3bf14ee8\papers\8d2355ad-1c63-4215-bfd6-ba76cc00c706.md</x:v>
      </x:c>
      <x:c r="N54" s="19" t="str">
        <x:v>2026-06-05 16:45:26</x:v>
      </x:c>
      <x:c r="O54" s="19" t="str">
        <x:v>2026-06-05 16:46:28</x:v>
      </x:c>
    </x:row>
    <x:row r="55" ht="40.5" customHeight="1">
      <x:c r="A55" s="19" t="n">
        <x:v>54</x:v>
      </x:c>
      <x:c r="B55" s="18" t="str">
        <x:v>830b9d84-f7a0-4604-af31-b74f8b75a36a</x:v>
      </x:c>
      <x:c r="C55" s="18" t="str">
        <x:v>Gleanings of a chemiosmotic eye</x:v>
      </x:c>
      <x:c r="D55" s="18" t="str">
        <x:v>Franklin M Harold</x:v>
      </x:c>
      <x:c r="E55" s="19"/>
      <x:c r="F55" s="18" t="str">
        <x:v>Gleanings of a chemiosmotic eye</x:v>
      </x:c>
      <x:c r="G55" s="18" t="str"/>
      <x:c r="H55" s="19" t="str">
        <x:v>IRRELEVANT</x:v>
      </x:c>
      <x:c r="I55" s="19" t="str">
        <x:v>判定无关</x:v>
      </x:c>
      <x:c r="J55" s="19" t="str">
        <x:v>否</x:v>
      </x:c>
      <x:c r="K55" s="19" t="n">
        <x:v>17</x:v>
      </x:c>
      <x:c r="L55" s="18" t="str">
        <x:v>The paper discusses chemiosmotic theory, membrane bioenergetics, and ion transport across biological membranes, with a brief mention of oomycetes in the context of calcium-dependent apical growth. However, it does not report or discuss any compound, extract, pesticide, or derivative tested for activity against oomycetes or any other pathogen.</x:v>
      </x:c>
      <x:c r="M55" s="18" t="str"/>
      <x:c r="N55" s="19" t="str">
        <x:v>2026-06-05 16:46:28</x:v>
      </x:c>
      <x:c r="O55" s="19" t="str">
        <x:v>2026-06-05 16:46:31</x:v>
      </x:c>
    </x:row>
    <x:row r="56" ht="40.5" customHeight="1">
      <x:c r="A56" s="19" t="n">
        <x:v>55</x:v>
      </x:c>
      <x:c r="B56" s="18" t="str">
        <x:v>1d2376cc-5766-4492-886e-3f71935f2648</x:v>
      </x:c>
      <x:c r="C56" s="18" t="str">
        <x:v>Biosynthesis, metabolism, molecular engineering, and biological functions of stilbene phytoalexins in plants</x:v>
      </x:c>
      <x:c r="D56" s="18" t="str">
        <x:v>Philippe Jeandet; Bertrand Delaunois; Alexandra Conreux; David Donnez; Vitale Nuzzo; Sylvain Cordelier; Christophe Cle ´ment; Eric Courot; Prof Philippe Jeandet; Faculty of Sciences University of Reims P.O. Box 1039 51687 Reims cedex 02 France</x:v>
      </x:c>
      <x:c r="E56" s="19" t="n">
        <x:v>2010</x:v>
      </x:c>
      <x:c r="F56" s="18" t="str">
        <x:v>Biosynthesis, metabolism, molecular engineering, and biological functions of stilbene phytoalexins in plants</x:v>
      </x:c>
      <x:c r="G56" s="18" t="str">
        <x:v>10.1002/biof.108</x:v>
      </x:c>
      <x:c r="H56" s="19" t="str">
        <x:v>SUMMARIZED</x:v>
      </x:c>
      <x:c r="I56" s="19" t="str">
        <x:v>成功总结</x:v>
      </x:c>
      <x:c r="J56" s="19" t="str">
        <x:v>是</x:v>
      </x:c>
      <x:c r="K56" s="19" t="n">
        <x:v>21</x:v>
      </x:c>
      <x:c r="L56" s="18" t="str">
        <x:v>The paper reports experimental evidence that stilbene compounds (e.g., resveratrol, pterostilbene, ε-viniferin) inhibit the oomycete Plasmopara viticola, a causal agent of grapevine downy mildew. It discusses induction of stilbenes in response to P. viticola infection and correlates stilbene production with resistance to this oomycete.</x:v>
      </x:c>
      <x:c r="M56" s="18" t="str">
        <x:v>D:\Project\ai_coding_platform\demo_01\data\rag-evaluation\efe44f92-8d28-4902-bf77-a15d3bf14ee8\papers\1d2376cc-5766-4492-886e-3f71935f2648.md</x:v>
      </x:c>
      <x:c r="N56" s="19" t="str">
        <x:v>2026-06-05 16:46:31</x:v>
      </x:c>
      <x:c r="O56" s="19" t="str">
        <x:v>2026-06-05 16:46:51</x:v>
      </x:c>
    </x:row>
    <x:row r="57" ht="40.5" customHeight="1">
      <x:c r="A57" s="19" t="n">
        <x:v>56</x:v>
      </x:c>
      <x:c r="B57" s="18" t="str">
        <x:v>1521160d-40a0-4a91-bf65-29cb9923a44a</x:v>
      </x:c>
      <x:c r="C57" s="18" t="str">
        <x:v>Nondestructive FTIR Monitoring of Leaf Senescence and Elicitin-Induced Changes in Plant Leaves</x:v>
      </x:c>
      <x:c r="D57" s="18" t="str">
        <x:v>BAL Diana G Ivanova; Ram Singh; B R Singh</x:v>
      </x:c>
      <x:c r="E57" s="19"/>
      <x:c r="F57" s="18" t="str">
        <x:v>Nondestructive FTIR Monitoring of Leaf Senescence and Elicitin-Induced Changes in Plant Leaves</x:v>
      </x:c>
      <x:c r="G57" s="18" t="str"/>
      <x:c r="H57" s="19" t="str">
        <x:v>IRRELEVANT</x:v>
      </x:c>
      <x:c r="I57" s="19" t="str">
        <x:v>判定无关</x:v>
      </x:c>
      <x:c r="J57" s="19" t="str">
        <x:v>否</x:v>
      </x:c>
      <x:c r="K57" s="19" t="n">
        <x:v>17</x:v>
      </x:c>
      <x:c r="L57" s="18" t="str">
        <x:v>The paper studies plant responses to elicitins (proteins from Phytophthora) using FTIR spectroscopy but does not test or discuss any compound, extract, pesticide, or derivative for activity against oomycetes themselves.</x:v>
      </x:c>
      <x:c r="M57" s="18" t="str"/>
      <x:c r="N57" s="19" t="str">
        <x:v>2026-06-05 16:46:51</x:v>
      </x:c>
      <x:c r="O57" s="19" t="str">
        <x:v>2026-06-05 16:46:54</x:v>
      </x:c>
    </x:row>
    <x:row r="58" ht="40.5" customHeight="1">
      <x:c r="A58" s="19" t="n">
        <x:v>57</x:v>
      </x:c>
      <x:c r="B58" s="18" t="str">
        <x:v>32be864d-9dd6-40a5-a722-718e232b81e6</x:v>
      </x:c>
      <x:c r="C58" s="18" t="str">
        <x:v>A Novel Chitin-Binding Protein from Moringa oleifera Seed with Potential for Plant Disease Control</x:v>
      </x:c>
      <x:c r="D58" s="18" t="str">
        <x:v>Juliana M Gifoni; Jose ´t A Oliveira; Hermogenes D Oliveira; Adelina B Batista; Mirella L Pereira; Antoniella S Gomes; Henrique P Oliveira; Thalles B Grangeiro; Ilka M Vasconcelos; Departamento de Bioquı ´mica e Biologia Molecular Universidade Federal do Ceara ´ ´60451-970 Ceara Brazil;</x:v>
      </x:c>
      <x:c r="E58" s="19" t="n">
        <x:v>2012</x:v>
      </x:c>
      <x:c r="F58" s="18" t="str">
        <x:v>A Novel Chitin-Binding Protein from Moringa oleifera Seed with Potential for Plant Disease Control</x:v>
      </x:c>
      <x:c r="G58" s="18" t="str">
        <x:v>10.1002/bip.22068</x:v>
      </x:c>
      <x:c r="H58" s="19" t="str">
        <x:v>SUMMARIZED</x:v>
      </x:c>
      <x:c r="I58" s="19" t="str">
        <x:v>成功总结</x:v>
      </x:c>
      <x:c r="J58" s="19" t="str">
        <x:v>是</x:v>
      </x:c>
      <x:c r="K58" s="19" t="n">
        <x:v>29</x:v>
      </x:c>
      <x:c r="L58" s="18" t="str">
        <x:v>The paper reports experimental testing of the chitin-binding protein Mo-CBP3 against the oomycete Pythium oligandrum, including assays on spore germination and viability, explicitly stating that Mo-CBP3 did not inhibit P. oligandrum.</x:v>
      </x:c>
      <x:c r="M58" s="18" t="str">
        <x:v>D:\Project\ai_coding_platform\demo_01\data\rag-evaluation\efe44f92-8d28-4902-bf77-a15d3bf14ee8\papers\32be864d-9dd6-40a5-a722-718e232b81e6.md</x:v>
      </x:c>
      <x:c r="N58" s="19" t="str">
        <x:v>2026-06-05 16:46:54</x:v>
      </x:c>
      <x:c r="O58" s="19" t="str">
        <x:v>2026-06-05 16:47:03</x:v>
      </x:c>
    </x:row>
    <x:row r="59" ht="40.5" customHeight="1">
      <x:c r="A59" s="19" t="n">
        <x:v>58</x:v>
      </x:c>
      <x:c r="B59" s="18" t="str">
        <x:v>d24d7ba3-36a3-4591-a595-1c4f7583a133</x:v>
      </x:c>
      <x:c r="C59" s="18" t="str">
        <x:v>Tropane Alkaloid Production in Datura stramonium Suspension Cultures: Elicitor and Precursor Effects</x:v>
      </x:c>
      <x:c r="D59" s="18" t="str">
        <x:v>Rabia Ballica; Dewey D Y Ryu; Clarence 1 Kado2</x:v>
      </x:c>
      <x:c r="E59" s="19"/>
      <x:c r="F59" s="18" t="str">
        <x:v>Tropane Alkaloid Production in Datura stramonium Suspension Cultures: Elicitor and Precursor Effects</x:v>
      </x:c>
      <x:c r="G59" s="18" t="str"/>
      <x:c r="H59" s="19" t="str">
        <x:v>IRRELEVANT</x:v>
      </x:c>
      <x:c r="I59" s="19" t="str">
        <x:v>判定无关</x:v>
      </x:c>
      <x:c r="J59" s="19" t="str">
        <x:v>否</x:v>
      </x:c>
      <x:c r="K59" s="19" t="n">
        <x:v>24</x:v>
      </x:c>
      <x:c r="L59" s="18" t="str">
        <x:v>The paper studies tropane alkaloid production in Datura stramonium cell cultures and mentions Phytophthora megasperma only as a source of elicitors to stimulate alkaloid biosynthesis. It does not test any compound for activity against oomycetes, nor does it assess anti-oomycete effects of any extract, compound, or derivative.</x:v>
      </x:c>
      <x:c r="M59" s="18" t="str"/>
      <x:c r="N59" s="19" t="str">
        <x:v>2026-06-05 16:47:03</x:v>
      </x:c>
      <x:c r="O59" s="19" t="str">
        <x:v>2026-06-05 16:47:06</x:v>
      </x:c>
    </x:row>
    <x:row r="60" ht="40.5" customHeight="1">
      <x:c r="A60" s="19" t="n">
        <x:v>59</x:v>
      </x:c>
      <x:c r="B60" s="18" t="str">
        <x:v>1a152b7d-903d-45bf-880f-f6567a308f5b</x:v>
      </x:c>
      <x:c r="C60" s="18" t="str">
        <x:v>High-performance liquid chromatographic mass spectrometric identification of the photoproducts of cymoxanil</x:v>
      </x:c>
      <x:c r="D60" s="18" t="str">
        <x:v>Patrizia Morrica; Paola Fidente; Serenella Seccia; Dipartimento di Chimica Farmaceutica e Tossicologica Università degli Studi di Napoli Federico II Via D. Montesano 49 80131 Napoli Italy</x:v>
      </x:c>
      <x:c r="E60" s="19" t="n">
        <x:v>2005</x:v>
      </x:c>
      <x:c r="F60" s="18" t="str">
        <x:v>High-performance liquid chromatographic mass spectrometric identification of the photoproducts of cymoxanil</x:v>
      </x:c>
      <x:c r="G60" s="18" t="str">
        <x:v>10.1002/bmc.471</x:v>
      </x:c>
      <x:c r="H60" s="19" t="str">
        <x:v>SUMMARIZED</x:v>
      </x:c>
      <x:c r="I60" s="19" t="str">
        <x:v>成功总结</x:v>
      </x:c>
      <x:c r="J60" s="19" t="str">
        <x:v>是</x:v>
      </x:c>
      <x:c r="K60" s="19" t="n">
        <x:v>14</x:v>
      </x:c>
      <x:c r="L60" s="18" t="str">
        <x:v>The paper states that cymoxanil is a fungicide used against pathogen species of the Peronosporales order, which includes oomycetes such as Phytophthora and Peronospora. This indicates the compound is active against oomycetes.</x:v>
      </x:c>
      <x:c r="M60" s="18" t="str">
        <x:v>D:\Project\ai_coding_platform\demo_01\data\rag-evaluation\efe44f92-8d28-4902-bf77-a15d3bf14ee8\papers\1a152b7d-903d-45bf-880f-f6567a308f5b.md</x:v>
      </x:c>
      <x:c r="N60" s="19" t="str">
        <x:v>2026-06-05 16:47:06</x:v>
      </x:c>
      <x:c r="O60" s="19" t="str">
        <x:v>2026-06-05 16:47:11</x:v>
      </x:c>
    </x:row>
    <x:row r="61" ht="40.5" customHeight="1">
      <x:c r="A61" s="19" t="n">
        <x:v>60</x:v>
      </x:c>
      <x:c r="B61" s="18" t="str">
        <x:v>de992f7f-ca90-4bf1-a666-9b6438f91be4</x:v>
      </x:c>
      <x:c r="C61" s="18" t="str">
        <x:v>Interaction Between Abscisic Acid and Nitric Oxide in PB90-Induced Catharanthine Biosynthesis of Catharanthus roseus Cell Suspension Cultures</x:v>
      </x:c>
      <x:c r="D61" s="18" t="str">
        <x:v>Qian Chen; Zunwei Chen; Li Lu; Haihong Jin; Lina Sun; Qin Yu; Hongke Xu; Fengxia Yang; Mengna Fu; Shengchao Li; Huizhong Wang; Maojun Xu; Zhejiang Provincial Key Laboratory for Genetic Improvement and Quality Control of Medical Plants Hangzhou Normal University 310035 Hangzhou China; Department of Environmental Sciences Zhejiang Provincial Key Laboratory for Genetic Improvement and Quality Control of Medical Plants Hangzhou Normal University 310035 Hangzhou China; Institute of Resources and Environment Sciences Zhejiang Provincial Key Laboratory for Genetic Improvement and Quality Control of Medical Plants Zhejiang Gongshang University 310035 Hangzhou; Hangzhou Normal University 310035 Hangzhou China</x:v>
      </x:c>
      <x:c r="E61" s="19"/>
      <x:c r="F61" s="18" t="str">
        <x:v>Interaction Between Abscisic Acid and Nitric Oxide in PB90-Induced Catharanthine Biosynthesis of Catharanthus roseus Cell Suspension Cultures</x:v>
      </x:c>
      <x:c r="G61" s="18" t="str">
        <x:v>10.1002/btpr.1738</x:v>
      </x:c>
      <x:c r="H61" s="19" t="str">
        <x:v>IRRELEVANT</x:v>
      </x:c>
      <x:c r="I61" s="19" t="str">
        <x:v>判定无关</x:v>
      </x:c>
      <x:c r="J61" s="19" t="str">
        <x:v>否</x:v>
      </x:c>
      <x:c r="K61" s="19" t="n">
        <x:v>24</x:v>
      </x:c>
      <x:c r="L61" s="18" t="str">
        <x:v>The paper studies PB90, a protein elicitor from Phytophthora boehmeriae, but only as a tool to induce plant defense responses and secondary metabolite (catharanthine) production in Catharanthus roseus cell cultures. It does not test or evaluate PB90 or any other compound for direct anti-oomycete activity. The focus is entirely on plant signaling pathways (ABA and NO) and alkaloid biosynthesis, not on compounds active against oomycetes.</x:v>
      </x:c>
      <x:c r="M61" s="18" t="str"/>
      <x:c r="N61" s="19" t="str">
        <x:v>2026-06-05 16:47:11</x:v>
      </x:c>
      <x:c r="O61" s="19" t="str">
        <x:v>2026-06-05 16:47:15</x:v>
      </x:c>
    </x:row>
    <x:row r="62" ht="40.5" customHeight="1">
      <x:c r="A62" s="19" t="n">
        <x:v>61</x:v>
      </x:c>
      <x:c r="B62" s="18" t="str">
        <x:v>e03890c1-1bf6-497c-9b0f-8a4477b32149</x:v>
      </x:c>
      <x:c r="C62" s="18" t="str">
        <x:v>Identification and characterization of the biotechnological potential of a wild strain of Paraconiothyrium sp</x:v>
      </x:c>
      <x:c r="D62" s="18" t="str">
        <x:v>Marina Arredondo-Santoyo; Ma Soledad Vázquez-Garcidueñas; Gerardo Vázquez- Marrufo; Dr Gerardo Vázquez-Marrufo; John Wiley; Centro Multidisciplinario de Estudios en Biotecnología Facultad de Medicina Veterinaria y Zootecnia Universidad Michoacana de San Nicolás de Hidalgo Km 9.5 Carretera Morelia-Zinapécuaro Col. La Palma Tarímbaro 58262 Michoacán CP</x:v>
      </x:c>
      <x:c r="E62" s="19"/>
      <x:c r="F62" s="18" t="str">
        <x:v>Identification and characterization of the biotechnological potential of a wild strain of Paraconiothyrium sp</x:v>
      </x:c>
      <x:c r="G62" s="18" t="str">
        <x:v>10.1002/btpr.2653</x:v>
      </x:c>
      <x:c r="H62" s="19" t="str">
        <x:v>SUMMARIZED</x:v>
      </x:c>
      <x:c r="I62" s="19" t="str">
        <x:v>成功总结</x:v>
      </x:c>
      <x:c r="J62" s="19" t="str">
        <x:v>是</x:v>
      </x:c>
      <x:c r="K62" s="19" t="n">
        <x:v>32</x:v>
      </x:c>
      <x:c r="L62" s="18" t="str">
        <x:v>The paper reports in vitro antagonism assays where the fungal strain CMU-196 (identified as Paraconiothyrium brasiliense) inhibited two oomycete species, Phytophthora cinnamomi and P. capsici, with inhibition percentages of 91.1% and 70%, respectively. This constitutes direct experimental evidence of activity against oomycetes.</x:v>
      </x:c>
      <x:c r="M62" s="18" t="str">
        <x:v>D:\Project\ai_coding_platform\demo_01\data\rag-evaluation\efe44f92-8d28-4902-bf77-a15d3bf14ee8\papers\e03890c1-1bf6-497c-9b0f-8a4477b32149.md</x:v>
      </x:c>
      <x:c r="N62" s="19" t="str">
        <x:v>2026-06-05 16:47:15</x:v>
      </x:c>
      <x:c r="O62" s="19" t="str">
        <x:v>2026-06-05 16:47:29</x:v>
      </x:c>
    </x:row>
    <x:row r="63" ht="40.5" customHeight="1">
      <x:c r="A63" s="19" t="n">
        <x:v>62</x:v>
      </x:c>
      <x:c r="B63" s="18" t="str">
        <x:v>f330fa5c-2cf9-4ddd-9fe5-66281cfb6880</x:v>
      </x:c>
      <x:c r="C63" s="18" t="str">
        <x:v>Glycoalkaloids as Biomarkers for Recognition of Cultivated, Wild, and Somatic Hybrids of Potato</x:v>
      </x:c>
      <x:c r="D63" s="18" t="str">
        <x:v>Salvatore Savarese; Anna Andolfi; Alessio Cimmino; Domenico Carputo; Luigi Frusciante; Antonio Evidente</x:v>
      </x:c>
      <x:c r="E63" s="19"/>
      <x:c r="F63" s="18" t="str">
        <x:v>Glycoalkaloids as Biomarkers for Recognition of Cultivated, Wild, and Somatic Hybrids of Potato</x:v>
      </x:c>
      <x:c r="G63" s="18" t="str"/>
      <x:c r="H63" s="19" t="str">
        <x:v>IRRELEVANT</x:v>
      </x:c>
      <x:c r="I63" s="19" t="str">
        <x:v>判定无关</x:v>
      </x:c>
      <x:c r="J63" s="19" t="str">
        <x:v>否</x:v>
      </x:c>
      <x:c r="K63" s="19" t="n">
        <x:v>14</x:v>
      </x:c>
      <x:c r="L63" s="18" t="str">
        <x:v>The paper focuses on glycoalkaloids as biomarkers for identifying potato hybrids and does not report experimental testing of any compound against oomycetes. Although Phytophthora infestans (an oomycete) is mentioned as a pathogen that S. bulbocastanum is resistant to, the study itself does not test or evaluate any compounds for anti-oomycete activity.</x:v>
      </x:c>
      <x:c r="M63" s="18" t="str"/>
      <x:c r="N63" s="19" t="str">
        <x:v>2026-06-05 16:47:29</x:v>
      </x:c>
      <x:c r="O63" s="19" t="str">
        <x:v>2026-06-05 16:47:33</x:v>
      </x:c>
    </x:row>
    <x:row r="64" ht="40.5" customHeight="1">
      <x:c r="A64" s="19" t="n">
        <x:v>63</x:v>
      </x:c>
      <x:c r="B64" s="18" t="str">
        <x:v>6154a78f-7efe-4a8c-8f27-936b03de1246</x:v>
      </x:c>
      <x:c r="C64" s="18" t="str">
        <x:v>Flufuran, an Antifungal 3,5-Disubstituted Furan Produced by Aspergillus flavus Link</x:v>
      </x:c>
      <x:c r="D64" s="18" t="str">
        <x:v>Antonio Evidente; Gennaro Cristinzio; Biancavaleria Punzo; Anna Andolfi; Antonino Testa; Dominique Melck; delle Produzioni Animali Universita di Napoli Federico II IT-80055 Portici</x:v>
      </x:c>
      <x:c r="E64" s="19"/>
      <x:c r="F64" s="18" t="str">
        <x:v>Flufuran, an Antifungal 3,5-Disubstituted Furan Produced by Aspergillus flavus Link</x:v>
      </x:c>
      <x:c r="G64" s="18" t="str"/>
      <x:c r="H64" s="19" t="str">
        <x:v>SUMMARIZED</x:v>
      </x:c>
      <x:c r="I64" s="19" t="str">
        <x:v>成功总结</x:v>
      </x:c>
      <x:c r="J64" s="19" t="str">
        <x:v>是</x:v>
      </x:c>
      <x:c r="K64" s="19" t="n">
        <x:v>12</x:v>
      </x:c>
      <x:c r="L64" s="18" t="str">
        <x:v>The paper reports experimental testing of flufuran and its derivatives against Phytophthora species (P. cinnamomi, P. cactorum, P. nicotianae), which are oomycetes, including quantitative antifungal activity data.</x:v>
      </x:c>
      <x:c r="M64" s="18" t="str">
        <x:v>D:\Project\ai_coding_platform\demo_01\data\rag-evaluation\efe44f92-8d28-4902-bf77-a15d3bf14ee8\papers\6154a78f-7efe-4a8c-8f27-936b03de1246.md</x:v>
      </x:c>
      <x:c r="N64" s="19" t="str">
        <x:v>2026-06-05 16:47:33</x:v>
      </x:c>
      <x:c r="O64" s="19" t="str">
        <x:v>2026-06-05 16:48:59</x:v>
      </x:c>
    </x:row>
    <x:row r="65" ht="40.5" customHeight="1">
      <x:c r="A65" s="19" t="n">
        <x:v>64</x:v>
      </x:c>
      <x:c r="B65" s="18" t="str">
        <x:v>fe1b1a22-38b0-4cc4-a357-10da351c40ac</x:v>
      </x:c>
      <x:c r="C65" s="18" t="str">
        <x:v>Synthesis and Antifungal Activity of 2-Hydroxy-4,5-methylenedioxyaryl Ketones as Analogues of Kakuol</x:v>
      </x:c>
      <x:c r="D65" s="18" t="str">
        <x:v>Loana Musso; Sabrina Dallavalle; Lucio Merlini; Gandolfina Farina</x:v>
      </x:c>
      <x:c r="E65" s="19"/>
      <x:c r="F65" s="18" t="str">
        <x:v>Synthesis and Antifungal Activity of 2-Hydroxy-4,5-methylenedioxyaryl Ketones as Analogues of Kakuol</x:v>
      </x:c>
      <x:c r="G65" s="18" t="str"/>
      <x:c r="H65" s="19" t="str">
        <x:v>SUMMARIZED</x:v>
      </x:c>
      <x:c r="I65" s="19" t="str">
        <x:v>成功总结</x:v>
      </x:c>
      <x:c r="J65" s="19" t="str">
        <x:v>是</x:v>
      </x:c>
      <x:c r="K65" s="19" t="n">
        <x:v>13</x:v>
      </x:c>
      <x:c r="L65" s="18" t="str">
        <x:v>The paper reports experimental testing of synthetic compounds (e.g., kakuol and analogues like 5a) against oomycetes Phytophthora infestans and Pythium ultimum, including quantitative mycelial growth inhibition data and MIC values.</x:v>
      </x:c>
      <x:c r="M65" s="18" t="str">
        <x:v>D:\Project\ai_coding_platform\demo_01\data\rag-evaluation\efe44f92-8d28-4902-bf77-a15d3bf14ee8\papers\fe1b1a22-38b0-4cc4-a357-10da351c40ac.md</x:v>
      </x:c>
      <x:c r="N65" s="19" t="str">
        <x:v>2026-06-05 16:48:59</x:v>
      </x:c>
      <x:c r="O65" s="19" t="str">
        <x:v>2026-06-05 16:50:21</x:v>
      </x:c>
    </x:row>
    <x:row r="66" ht="40.5" customHeight="1">
      <x:c r="A66" s="19" t="n">
        <x:v>65</x:v>
      </x:c>
      <x:c r="B66" s="18" t="str">
        <x:v>7ae6fb01-cad8-4b71-a8db-35b6e03a22fb</x:v>
      </x:c>
      <x:c r="C66" s="18" t="str">
        <x:v>Acremoxanthone E, a Novel Member of Heterodimeric Polyketides with a Bicyclo[3.2.2]nonene Ring, Produced by Acremonium camptosporum W. Gams (Clavicipitaceae) Endophytic Fungus</x:v>
      </x:c>
      <x:c r="D66" s="18" t="str">
        <x:v>Claudio Mele ´ndez-Gonza ´lez; M Jordi Muria `-Gonza ´lez A ); Ana Luisa Anaya; Blanca E Herna ´ndez-Bautista; Simo ´n Herna ´ndez-Ortega; María C Gonza ´lez D ); Anthony E Glenn; Richard T Hanlin; Martha L Macías-Rubalcava; Nacional Auto ´noma de Me ´xico (UNAM) ARS, Toxicology &amp; Mycotoxin Research Unit Ciudad Universitaria Coyoaca ´n Me ´xico e ) USDA 04510 D.F; Russell Research Center 30604 Athens Georgia USA</x:v>
      </x:c>
      <x:c r="E66" s="19"/>
      <x:c r="F66" s="18" t="str">
        <x:v>Acremoxanthone E, a Novel Member of Heterodimeric Polyketides with a Bicyclo[3.2.2]nonene Ring, Produced by Acremonium camptosporum W. Gams (Clavicipitaceae) Endophytic Fungus</x:v>
      </x:c>
      <x:c r="G66" s="18" t="str"/>
      <x:c r="H66" s="19" t="str">
        <x:v>SUMMARIZED</x:v>
      </x:c>
      <x:c r="I66" s="19" t="str">
        <x:v>成功总结</x:v>
      </x:c>
      <x:c r="J66" s="19" t="str">
        <x:v>是</x:v>
      </x:c>
      <x:c r="K66" s="19" t="n">
        <x:v>26</x:v>
      </x:c>
      <x:c r="L66" s="18" t="str">
        <x:v>The paper reports experimental testing of heterodimeric polyketides (including acremoxanthones 1–6) against multiple oomycetes such as Phytophthora and Pythium species, with IC50 values provided in Table 4. The mycelial extract and isolated compounds showed concentration-dependent inhibition of oomycete growth.</x:v>
      </x:c>
      <x:c r="M66" s="18" t="str">
        <x:v>D:\Project\ai_coding_platform\demo_01\data\rag-evaluation\efe44f92-8d28-4902-bf77-a15d3bf14ee8\papers\7ae6fb01-cad8-4b71-a8db-35b6e03a22fb.md</x:v>
      </x:c>
      <x:c r="N66" s="19" t="str">
        <x:v>2026-06-05 16:50:21</x:v>
      </x:c>
      <x:c r="O66" s="19" t="str">
        <x:v>2026-06-05 16:52:24</x:v>
      </x:c>
    </x:row>
    <x:row r="67" ht="40.5" customHeight="1">
      <x:c r="A67" s="19" t="n">
        <x:v>66</x:v>
      </x:c>
      <x:c r="B67" s="18" t="str">
        <x:v>ceaccdb2-ab2d-493a-b069-c8d969d80f64</x:v>
      </x:c>
      <x:c r="C67" s="18" t="str">
        <x:v>Antifungal monoterpene derivatives from the plant endophytic fungus Pestalotiopsis foedan</x:v>
      </x:c>
      <x:c r="D67" s="18" t="str">
        <x:v>Dan Xu; Bing-Yang Zhang; Xiao-Long Yang</x:v>
      </x:c>
      <x:c r="E67" s="19"/>
      <x:c r="F67" s="18" t="str">
        <x:v>Antifungal monoterpene derivatives from the plant endophytic fungus Pestalotiopsis foedan</x:v>
      </x:c>
      <x:c r="G67" s="18" t="str">
        <x:v>10.1002/cbdv.201600114</x:v>
      </x:c>
      <x:c r="H67" s="19" t="str">
        <x:v>SUMMARIZED</x:v>
      </x:c>
      <x:c r="I67" s="19" t="str">
        <x:v>成功总结</x:v>
      </x:c>
      <x:c r="J67" s="19" t="str">
        <x:v>是</x:v>
      </x:c>
      <x:c r="K67" s="19" t="n">
        <x:v>9</x:v>
      </x:c>
      <x:c r="L67" s="18" t="str">
        <x:v>The paper reports that compounds 1 and 2 were tested for antifungal activity against Phytophthora nicotianae, an oomycete, and showed significant activity with MIC values of 3.1 and 6.3 μg/ml, respectively.</x:v>
      </x:c>
      <x:c r="M67" s="18" t="str">
        <x:v>D:\Project\ai_coding_platform\demo_01\data\rag-evaluation\efe44f92-8d28-4902-bf77-a15d3bf14ee8\papers\ceaccdb2-ab2d-493a-b069-c8d969d80f64.md</x:v>
      </x:c>
      <x:c r="N67" s="19" t="str">
        <x:v>2026-06-05 16:52:24</x:v>
      </x:c>
      <x:c r="O67" s="19" t="str">
        <x:v>2026-06-05 16:52:39</x:v>
      </x:c>
    </x:row>
    <x:row r="68" ht="40.5" customHeight="1">
      <x:c r="A68" s="19" t="n">
        <x:v>67</x:v>
      </x:c>
      <x:c r="B68" s="18" t="str">
        <x:v>b20cca33-c4ff-41e0-8c2a-adb4e171c649</x:v>
      </x:c>
      <x:c r="C68" s="18" t="str">
        <x:v>Article Type: Full Paper Bioassay-guided isolation of antifungal compounds from Disporopsis aspera Engl. against Pseudoperonospora cubensis and Phytophthora infestans</x:v>
      </x:c>
      <x:c r="D68" s="18" t="str">
        <x:v>Feng Zhu; Chengshan Yuan; Fangli Gang; Chaofu Yang; Wenjun Wu; Jiwen Zhang</x:v>
      </x:c>
      <x:c r="E68" s="19"/>
      <x:c r="F68" s="18" t="str">
        <x:v>Article Type: Full Paper Bioassay-guided isolation of antifungal compounds from Disporopsis aspera Engl. against Pseudoperonospora cubensis and Phytophthora infestans</x:v>
      </x:c>
      <x:c r="G68" s="18" t="str">
        <x:v>10.1002/cbdv.201800090</x:v>
      </x:c>
      <x:c r="H68" s="19" t="str">
        <x:v>SUMMARIZED</x:v>
      </x:c>
      <x:c r="I68" s="19" t="str">
        <x:v>成功总结</x:v>
      </x:c>
      <x:c r="J68" s="19" t="str">
        <x:v>是</x:v>
      </x:c>
      <x:c r="K68" s="19" t="n">
        <x:v>21</x:v>
      </x:c>
      <x:c r="L68" s="18" t="str">
        <x:v>The paper reports isolation and testing of multiple compounds from Disporopsis aspera against the oomycetes Pseudoperonospora cubensis and Phytophthora infestans, including EC50 values and in vivo efficacy data.</x:v>
      </x:c>
      <x:c r="M68" s="18" t="str">
        <x:v>D:\Project\ai_coding_platform\demo_01\data\rag-evaluation\efe44f92-8d28-4902-bf77-a15d3bf14ee8\papers\b20cca33-c4ff-41e0-8c2a-adb4e171c649.md</x:v>
      </x:c>
      <x:c r="N68" s="19" t="str">
        <x:v>2026-06-05 16:52:39</x:v>
      </x:c>
      <x:c r="O68" s="19" t="str">
        <x:v>2026-06-05 16:53:22</x:v>
      </x:c>
    </x:row>
    <x:row r="69" ht="40.5" customHeight="1">
      <x:c r="A69" s="19" t="n">
        <x:v>68</x:v>
      </x:c>
      <x:c r="B69" s="18" t="str">
        <x:v>d8127afe-a952-4457-a321-6e42cd6949ed</x:v>
      </x:c>
      <x:c r="C69" s="18" t="str">
        <x:v>Functional Analysis of Pcipg2 From the Straminopilous Plant Pathogen Phytophthora capsici</x:v>
      </x:c>
      <x:c r="D69" s="18" t="str">
        <x:v>Wen Xiu Sun; Yong Jian Jia; Bao Zhen Feng; Nichole R O'neill; Xiao Ping Zhu; Bing Yan Xie; Xiu Guo Zhang; Guo Xiu; Zhang; Department of Plant Pathology Shandong Agricultural University Tai'an 271018 China</x:v>
      </x:c>
      <x:c r="E69" s="19" t="n">
        <x:v>2009</x:v>
      </x:c>
      <x:c r="F69" s="18" t="str">
        <x:v>Functional Analysis of Pcipg2 From the Straminopilous Plant Pathogen Phytophthora capsici</x:v>
      </x:c>
      <x:c r="G69" s="18" t="str">
        <x:v>10.1002/dvg.20530</x:v>
      </x:c>
      <x:c r="H69" s="19" t="str">
        <x:v>IRRELEVANT</x:v>
      </x:c>
      <x:c r="I69" s="19" t="str">
        <x:v>判定无关</x:v>
      </x:c>
      <x:c r="J69" s="19" t="str">
        <x:v>否</x:v>
      </x:c>
      <x:c r="K69" s="19" t="n">
        <x:v>26</x:v>
      </x:c>
      <x:c r="L69" s="18" t="str">
        <x:v>The paper focuses on characterizing a polygalacturonase enzyme (Pcipg2) from Phytophthora capsici and its role in pathogenicity, but does not test or discuss any external compounds, extracts, pesticides, or antimicrobial agents for activity against oomycetes.</x:v>
      </x:c>
      <x:c r="M69" s="18" t="str"/>
      <x:c r="N69" s="19" t="str">
        <x:v>2026-06-05 16:53:22</x:v>
      </x:c>
      <x:c r="O69" s="19" t="str">
        <x:v>2026-06-05 16:53:25</x:v>
      </x:c>
    </x:row>
    <x:row r="70" ht="40.5" customHeight="1">
      <x:c r="A70" s="19" t="n">
        <x:v>69</x:v>
      </x:c>
      <x:c r="B70" s="18" t="str">
        <x:v>b3282b9b-2006-4fee-918c-3541cb587968</x:v>
      </x:c>
      <x:c r="C70" s="18" t="str">
        <x:v>Schiff Base Derivatives</x:v>
      </x:c>
      <x:c r="D70" s="18" t="str">
        <x:v>Jin Ruyi; Jingli A＊; Liu; Guanghui Zhang; Jiajia Li; Shuan Zhang; Hui Guo</x:v>
      </x:c>
      <x:c r="E70" s="19"/>
      <x:c r="F70" s="18" t="str">
        <x:v>Schiff Base Derivatives</x:v>
      </x:c>
      <x:c r="G70" s="18" t="str">
        <x:v>10.1002/cbdv.201800263</x:v>
      </x:c>
      <x:c r="H70" s="19" t="str">
        <x:v>SUMMARIZED</x:v>
      </x:c>
      <x:c r="I70" s="19" t="str">
        <x:v>成功总结</x:v>
      </x:c>
      <x:c r="J70" s="19" t="str">
        <x:v>是</x:v>
      </x:c>
      <x:c r="K70" s="19" t="n">
        <x:v>13</x:v>
      </x:c>
      <x:c r="L70" s="18" t="str">
        <x:v>The paper reports antifungal activity testing of synthesized Schiff base derivatives against multiple oomycetes, specifically Pythium solani and Phytophthora capsici, with quantitative inhibition data provided in Tables 1 and 2.</x:v>
      </x:c>
      <x:c r="M70" s="18" t="str">
        <x:v>D:\Project\ai_coding_platform\demo_01\data\rag-evaluation\efe44f92-8d28-4902-bf77-a15d3bf14ee8\papers\b3282b9b-2006-4fee-918c-3541cb587968.md</x:v>
      </x:c>
      <x:c r="N70" s="19" t="str">
        <x:v>2026-06-05 16:53:25</x:v>
      </x:c>
      <x:c r="O70" s="19" t="str">
        <x:v>2026-06-05 16:55:28</x:v>
      </x:c>
    </x:row>
    <x:row r="71" ht="40.5" customHeight="1">
      <x:c r="A71" s="19" t="n">
        <x:v>70</x:v>
      </x:c>
      <x:c r="B71" s="18" t="str">
        <x:v>455957a3-2a12-479d-83e6-3d7d386e9b70</x:v>
      </x:c>
      <x:c r="C71" s="18" t="str">
        <x:v>Biochar as a Biocompatible Mild Anti-Inflammatory Supplement for Animal Feed and Agricultural Fields</x:v>
      </x:c>
      <x:c r="D71" s="18" t="str">
        <x:v>Gizem Yıldızlı; Gokhan Coral; Furkan Ayaz</x:v>
      </x:c>
      <x:c r="E71" s="19"/>
      <x:c r="F71" s="18" t="str">
        <x:v>Biochar as a Biocompatible Mild Anti-Inflammatory Supplement for Animal Feed and Agricultural Fields</x:v>
      </x:c>
      <x:c r="G71" s="18" t="str">
        <x:v>10.1002/cbdv.202001002</x:v>
      </x:c>
      <x:c r="H71" s="19" t="str">
        <x:v>SUMMARIZED</x:v>
      </x:c>
      <x:c r="I71" s="19" t="str">
        <x:v>成功总结</x:v>
      </x:c>
      <x:c r="J71" s="19" t="str">
        <x:v>是</x:v>
      </x:c>
      <x:c r="K71" s="19" t="n">
        <x:v>20</x:v>
      </x:c>
      <x:c r="L71" s="18" t="str">
        <x:v>The paper reports experimental testing of apricot seed biochar (ASB) and olive seed biochar (OSB) against the oomycete Phytophthora cinnamomi using broth microdilution, agar diffusion, and radial growth assays, finding no significant inhibitory effect.</x:v>
      </x:c>
      <x:c r="M71" s="18" t="str">
        <x:v>D:\Project\ai_coding_platform\demo_01\data\rag-evaluation\efe44f92-8d28-4902-bf77-a15d3bf14ee8\papers\455957a3-2a12-479d-83e6-3d7d386e9b70.md</x:v>
      </x:c>
      <x:c r="N71" s="19" t="str">
        <x:v>2026-06-05 16:55:28</x:v>
      </x:c>
      <x:c r="O71" s="19" t="str">
        <x:v>2026-06-05 16:55:41</x:v>
      </x:c>
    </x:row>
    <x:row r="72" ht="40.5" customHeight="1">
      <x:c r="A72" s="19" t="n">
        <x:v>71</x:v>
      </x:c>
      <x:c r="B72" s="18" t="str">
        <x:v>0fe20c77-ecb7-4e9d-8626-c6c503e45973</x:v>
      </x:c>
      <x:c r="C72" s="18" t="str">
        <x:v>Synthesis and Anti-Oomycete Activity of 1-Sulfonyloxy/Acyloxydihydroeugenol Derivatives</x:v>
      </x:c>
      <x:c r="D72" s="18" t="str">
        <x:v>Genqiang Chen; Lina Zhu; Jiaxuan He; Song Zhang; Yuanhao Li; Xiaolong Guo; Di Sun; Yuee Tian; Shengming Liu; Xiaobo Huang; Zhiping Che</x:v>
      </x:c>
      <x:c r="E72" s="19"/>
      <x:c r="F72" s="18" t="str">
        <x:v>Synthesis and Anti-Oomycete Activity of 1-Sulfonyloxy/Acyloxydihydroeugenol Derivatives</x:v>
      </x:c>
      <x:c r="G72" s="18" t="str">
        <x:v>10.1002/cbdv.202100329</x:v>
      </x:c>
      <x:c r="H72" s="19" t="str">
        <x:v>SUMMARIZED</x:v>
      </x:c>
      <x:c r="I72" s="19" t="str">
        <x:v>成功总结</x:v>
      </x:c>
      <x:c r="J72" s="19" t="str">
        <x:v>是</x:v>
      </x:c>
      <x:c r="K72" s="19" t="n">
        <x:v>12</x:v>
      </x:c>
      <x:c r="L72" s="18" t="str">
        <x:v>The paper reports synthesis and in vitro testing of 26 novel dihydroeugenol derivatives (3a-p and 5a-j) for anti-oomycete activity against Phytophthora capsici, an oomycete, including EC50 values and structure-activity relationships.</x:v>
      </x:c>
      <x:c r="M72" s="18" t="str">
        <x:v>D:\Project\ai_coding_platform\demo_01\data\rag-evaluation\efe44f92-8d28-4902-bf77-a15d3bf14ee8\papers\0fe20c77-ecb7-4e9d-8626-c6c503e45973.md</x:v>
      </x:c>
      <x:c r="N72" s="19" t="str">
        <x:v>2026-06-05 16:55:41</x:v>
      </x:c>
      <x:c r="O72" s="19" t="str">
        <x:v>2026-06-05 16:56:46</x:v>
      </x:c>
    </x:row>
    <x:row r="73" ht="40.5" customHeight="1">
      <x:c r="A73" s="19" t="n">
        <x:v>72</x:v>
      </x:c>
      <x:c r="B73" s="18" t="str">
        <x:v>717659bb-d778-4b15-b10f-5f46746433dd</x:v>
      </x:c>
      <x:c r="C73" s="18" t="str">
        <x:v>Synthesis, Thermal Stability and Antifungal Evaluation of Two New Pyrrole Esters</x:v>
      </x:c>
      <x:c r="D73" s="18" t="str">
        <x:v>Miao Lai; Wenjuan Chu; Lu Han; Yuewei Wei; Haiying Tian</x:v>
      </x:c>
      <x:c r="E73" s="19" t="n">
        <x:v>2023</x:v>
      </x:c>
      <x:c r="F73" s="18" t="str">
        <x:v>Synthesis, Thermal Stability and Antifungal Evaluation of Two New Pyrrole Esters</x:v>
      </x:c>
      <x:c r="G73" s="18" t="str">
        <x:v>10.21203/rs.3.rs-3168951/v1</x:v>
      </x:c>
      <x:c r="H73" s="19" t="str">
        <x:v>SUMMARIZED</x:v>
      </x:c>
      <x:c r="I73" s="19" t="str">
        <x:v>成功总结</x:v>
      </x:c>
      <x:c r="J73" s="19" t="str">
        <x:v>是</x:v>
      </x:c>
      <x:c r="K73" s="19" t="n">
        <x:v>21</x:v>
      </x:c>
      <x:c r="L73" s="18" t="str">
        <x:v>The paper reports experimental evaluation of two pyrrole ester compounds (4a and 4b) for antifungal activity against P. nicotianae, an oomycete, along with other fungi. Inhibitory indexes and EC50 values are provided, demonstrating substantive testing against an oomycete pathogen.</x:v>
      </x:c>
      <x:c r="M73" s="18" t="str">
        <x:v>D:\Project\ai_coding_platform\demo_01\data\rag-evaluation\efe44f92-8d28-4902-bf77-a15d3bf14ee8\papers\717659bb-d778-4b15-b10f-5f46746433dd.md</x:v>
      </x:c>
      <x:c r="N73" s="19" t="str">
        <x:v>2026-06-05 16:56:46</x:v>
      </x:c>
      <x:c r="O73" s="19" t="str">
        <x:v>2026-06-05 16:57:14</x:v>
      </x:c>
    </x:row>
    <x:row r="74" ht="40.5" customHeight="1">
      <x:c r="A74" s="19" t="n">
        <x:v>73</x:v>
      </x:c>
      <x:c r="B74" s="18" t="str">
        <x:v>c0fc9c26-25e0-42ae-aa4a-c0d53ec0839c</x:v>
      </x:c>
      <x:c r="C74" s="18" t="str">
        <x:v>Co-cultivation and Medium Optimization: A Strategy for Discovering Fungal-derived Protease Inhibitors</x:v>
      </x:c>
      <x:c r="D74" s="18" t="str">
        <x:v>Vitor De Souza Mazucato; Ludmilla Tonani; Marcia Regina; Zeska Kress; Adriano Defini Andricopulo; Gisele Barbosa; Renata Krogh; Leonardo Luiz; Gomes Ferreira; Paulo Cezar Vieira</x:v>
      </x:c>
      <x:c r="E74" s="19"/>
      <x:c r="F74" s="18" t="str">
        <x:v>Co-cultivation and Medium Optimization: A Strategy for Discovering Fungal-derived Protease Inhibitors</x:v>
      </x:c>
      <x:c r="G74" s="18" t="str">
        <x:v>10.1002/cbdv.202501135</x:v>
      </x:c>
      <x:c r="H74" s="19" t="str">
        <x:v>SUMMARIZED</x:v>
      </x:c>
      <x:c r="I74" s="19" t="str">
        <x:v>成功总结</x:v>
      </x:c>
      <x:c r="J74" s="19" t="str">
        <x:v>是</x:v>
      </x:c>
      <x:c r="K74" s="19" t="n">
        <x:v>29</x:v>
      </x:c>
      <x:c r="L74" s="18" t="str">
        <x:v>The paper reports testing extracts and isolated compounds from co-cultures involving Phytophthora palmivora (an oomycete) for biological activity. Specifically, antifungal assays against Colletotrichum horii and Candida spp. are described, but more importantly, the study evaluates the effect of fungal extracts on P. palmivora itself, noting that 'F. guttiforme inhibited the growth of P. palmivora' (chunk 4). This constitutes experimental evidence of a compound or extract active against an oomycete.</x:v>
      </x:c>
      <x:c r="M74" s="18" t="str">
        <x:v>D:\Project\ai_coding_platform\demo_01\data\rag-evaluation\efe44f92-8d28-4902-bf77-a15d3bf14ee8\papers\c0fc9c26-25e0-42ae-aa4a-c0d53ec0839c.md</x:v>
      </x:c>
      <x:c r="N74" s="19" t="str">
        <x:v>2026-06-05 16:57:14</x:v>
      </x:c>
      <x:c r="O74" s="19" t="str">
        <x:v>2026-06-05 16:57:22</x:v>
      </x:c>
    </x:row>
    <x:row r="75" ht="40.5" customHeight="1">
      <x:c r="A75" s="19" t="n">
        <x:v>74</x:v>
      </x:c>
      <x:c r="B75" s="18" t="str">
        <x:v>ae9d916b-7595-4e1f-a5f2-26fffaf765cd</x:v>
      </x:c>
      <x:c r="C75" s="18" t="str">
        <x:v>Activity Against Pythium insidiosum and Isolated Constituents of Cordia insignis Roots</x:v>
      </x:c>
      <x:c r="D75" s="18" t="str">
        <x:v>Rennan Carlos De Oliveira; Hellen Kheytiany; Silva Da; Lopes; Mariele Rondon; Santos Gonçalves; Mario Geraldo De Carvalho; Yasmin Sena; Amorin Dias Da Silva; Leonardo Gomes De Vasconcelos; Paulo Teixeira De Sousa Júnior; Ivana Maria Póvoa; Tereza Auxiliadora; Nascimento Ribeiro</x:v>
      </x:c>
      <x:c r="E75" s="19"/>
      <x:c r="F75" s="18" t="str">
        <x:v>Activity Against Pythium insidiosum and Isolated Constituents of Cordia insignis Roots</x:v>
      </x:c>
      <x:c r="G75" s="18" t="str">
        <x:v>10.1002/cbdv.202502503</x:v>
      </x:c>
      <x:c r="H75" s="19" t="str">
        <x:v>FAILED</x:v>
      </x:c>
      <x:c r="I75" s="19" t="str">
        <x:v>处理失败</x:v>
      </x:c>
      <x:c r="J75" s="19" t="str">
        <x:v>是</x:v>
      </x:c>
      <x:c r="K75" s="19" t="n">
        <x:v>17</x:v>
      </x:c>
      <x:c r="L75" s="18" t="str">
        <x:v>Markdown table synthesis failed after 3 attempts: Missing values must use empty cells</x:v>
      </x:c>
      <x:c r="M75" s="18" t="str"/>
      <x:c r="N75" s="19" t="str">
        <x:v>2026-06-05 16:57:22</x:v>
      </x:c>
      <x:c r="O75" s="19" t="str">
        <x:v>2026-06-05 16:58:22</x:v>
      </x:c>
    </x:row>
    <x:row r="76" ht="40.5" customHeight="1">
      <x:c r="A76" s="19" t="n">
        <x:v>75</x:v>
      </x:c>
      <x:c r="B76" s="18" t="str">
        <x:v>fb961fd7-0210-4e48-88cd-e53b9cfc8dbf</x:v>
      </x:c>
      <x:c r="C76" s="18" t="str">
        <x:v>E-ADA activity in lymphocytes of an experimental model of pythiosis treated with immunotherapy</x:v>
      </x:c>
      <x:c r="D76" s="18" t="str">
        <x:v>Barbara Charlotte Bach; Daniela Bitencourt; Rosa Leal; Jeandre Augusto; Santos Jaques; Viviane Do; Carmo Gonçalves Souza; Jader Betsch Ruchel; Karine Bizzi Schlemmer; Régis Adriel Zanette; Pedro Abib Hecktheuer; Patrique De Lima Pereira; Emerson André Casali; Sydney Hartz Alves; Janio Morais Santurio; Centro de Ciências da Saúde Departamento de Microbiologia e Parasitologia Programa de Pós-Graduação em Farmacologia Universidade Federal de Santa Maria Campus Universitário Santa Maria RS Brazil</x:v>
      </x:c>
      <x:c r="E76" s="19" t="n">
        <x:v>2012</x:v>
      </x:c>
      <x:c r="F76" s="18" t="str">
        <x:v>E-ADA activity in lymphocytes of an experimental model of pythiosis treated with immunotherapy</x:v>
      </x:c>
      <x:c r="G76" s="18" t="str">
        <x:v>10.1002/cbf.2921</x:v>
      </x:c>
      <x:c r="H76" s="19" t="str">
        <x:v>IRRELEVANT</x:v>
      </x:c>
      <x:c r="I76" s="19" t="str">
        <x:v>判定无关</x:v>
      </x:c>
      <x:c r="J76" s="19" t="str">
        <x:v>否</x:v>
      </x:c>
      <x:c r="K76" s="19" t="n">
        <x:v>20</x:v>
      </x:c>
      <x:c r="L76" s="18" t="str">
        <x:v>The paper investigates immunotherapy and host immune responses (specifically E-ADA activity in lymphocytes) in a rabbit model of pythiosis caused by the oomycete Pythium insidiosum, but it does not test or discuss any compound, extract, pesticide, or derivative for direct anti-oomycete activity.</x:v>
      </x:c>
      <x:c r="M76" s="18" t="str"/>
      <x:c r="N76" s="19" t="str">
        <x:v>2026-06-05 16:58:22</x:v>
      </x:c>
      <x:c r="O76" s="19" t="str">
        <x:v>2026-06-05 16:58:24</x:v>
      </x:c>
    </x:row>
    <x:row r="77" ht="40.5" customHeight="1">
      <x:c r="A77" s="19" t="n">
        <x:v>76</x:v>
      </x:c>
      <x:c r="B77" s="18" t="str">
        <x:v>461fa51a-ecef-4f31-8483-b5f7ed9845c2</x:v>
      </x:c>
      <x:c r="C77" s="18" t="str">
        <x:v>Vitamin D-Mediated Hypercalcemia in a Dog With Putative Cutaneous Pythiosis</x:v>
      </x:c>
      <x:c r="D77" s="18" t="str">
        <x:v>Jennifer Brodkin; Steven W Frederick; Markus Rick; Peter S Chapman</x:v>
      </x:c>
      <x:c r="E77" s="19"/>
      <x:c r="F77" s="18" t="str">
        <x:v>Vitamin D-Mediated Hypercalcemia in a Dog With Putative Cutaneous Pythiosis</x:v>
      </x:c>
      <x:c r="G77" s="18" t="str">
        <x:v>10.1002/ccr3.71594</x:v>
      </x:c>
      <x:c r="H77" s="19" t="str">
        <x:v>SUMMARIZED</x:v>
      </x:c>
      <x:c r="I77" s="19" t="str">
        <x:v>成功总结</x:v>
      </x:c>
      <x:c r="J77" s="19" t="str">
        <x:v>是</x:v>
      </x:c>
      <x:c r="K77" s="19" t="n">
        <x:v>8</x:v>
      </x:c>
      <x:c r="L77" s="18" t="str">
        <x:v>The paper discusses mefenoxam, an agricultural fungicide shown to inhibit the growth of Pythium insidiosum (an oomycete) in vitro, and mentions its use in a multiagent treatment protocol for dogs with pythiosis.</x:v>
      </x:c>
      <x:c r="M77" s="18" t="str">
        <x:v>D:\Project\ai_coding_platform\demo_01\data\rag-evaluation\efe44f92-8d28-4902-bf77-a15d3bf14ee8\papers\461fa51a-ecef-4f31-8483-b5f7ed9845c2.md</x:v>
      </x:c>
      <x:c r="N77" s="19" t="str">
        <x:v>2026-06-05 16:58:24</x:v>
      </x:c>
      <x:c r="O77" s="19" t="str">
        <x:v>2026-06-05 16:58:37</x:v>
      </x:c>
    </x:row>
    <x:row r="78" ht="40.5" customHeight="1">
      <x:c r="A78" s="19" t="n">
        <x:v>77</x:v>
      </x:c>
      <x:c r="B78" s="18" t="str">
        <x:v>9a88f57e-4d59-47b6-9694-9ca37dd2aac2</x:v>
      </x:c>
      <x:c r="C78" s="18" t="str">
        <x:v>Study of the Hydrophobic Cavity of b-Cryptogein through Laser-Polarized Xenon NMR Spectroscopy</x:v>
      </x:c>
      <x:c r="D78" s="18" t="str">
        <x:v>Dr Patrick Berthault; Dr Gaspard Huber; Dr Phuong Thu Ha; Dr Lionel Dubois; Hervø Desvaux; Dr Eric Guittet; Prof H Desvaux; DRECAM/Service de Chimie MolØculaire Laboratoire Structure et Dynamique par RØsonance MagnØtique DSM URA CEA/CNRS 331 CEA 91191 Gif sur Yvette Saclay France; Laboratoire de Chimie et Biologie Structurales Institut de Chimie des Substances Naturelles 91190 Gif sur Yvette CNRS France</x:v>
      </x:c>
      <x:c r="E78" s="19" t="n">
        <x:v>2005</x:v>
      </x:c>
      <x:c r="F78" s="18" t="str">
        <x:v>Study of the Hydrophobic Cavity of b-Cryptogein through Laser-Polarized Xenon NMR Spectroscopy</x:v>
      </x:c>
      <x:c r="G78" s="18" t="str">
        <x:v>10.1002/cbic.200500140</x:v>
      </x:c>
      <x:c r="H78" s="19" t="str">
        <x:v>IRRELEVANT</x:v>
      </x:c>
      <x:c r="I78" s="19" t="str">
        <x:v>判定无关</x:v>
      </x:c>
      <x:c r="J78" s="19" t="str">
        <x:v>否</x:v>
      </x:c>
      <x:c r="K78" s="19" t="n">
        <x:v>16</x:v>
      </x:c>
      <x:c r="L78" s="18" t="str">
        <x:v>The paper investigates the hydrophobic cavity of b-cryptogein (an elicitin protein) using xenon NMR spectroscopy, focusing on protein structure and sterol binding. It does not test or discuss any compound, extract, pesticide, or derivative for activity against oomycetes.</x:v>
      </x:c>
      <x:c r="M78" s="18" t="str"/>
      <x:c r="N78" s="19" t="str">
        <x:v>2026-06-05 16:58:37</x:v>
      </x:c>
      <x:c r="O78" s="19" t="str">
        <x:v>2026-06-05 16:58:39</x:v>
      </x:c>
    </x:row>
    <x:row r="79" ht="40.5" customHeight="1">
      <x:c r="A79" s="19" t="n">
        <x:v>78</x:v>
      </x:c>
      <x:c r="B79" s="18" t="str">
        <x:v>75fe2759-12df-4a5a-8117-12faef4e7bbe</x:v>
      </x:c>
      <x:c r="C79" s="18" t="str">
        <x:v>10.1002_chin.198615273</x:v>
      </x:c>
      <x:c r="D79" s="18" t="str"/>
      <x:c r="E79" s="19"/>
      <x:c r="F79" s="18" t="str"/>
      <x:c r="G79" s="18" t="str"/>
      <x:c r="H79" s="19" t="str">
        <x:v>NO_CHUNKS</x:v>
      </x:c>
      <x:c r="I79" s="19" t="str">
        <x:v>缺少 chunks</x:v>
      </x:c>
      <x:c r="J79" s="19" t="str"/>
      <x:c r="K79" s="19" t="n">
        <x:v>0</x:v>
      </x:c>
      <x:c r="L79" s="18" t="str">
        <x:v>No chunks available in vector storage or document.jsonl.</x:v>
      </x:c>
      <x:c r="M79" s="18" t="str"/>
      <x:c r="N79" s="19" t="str">
        <x:v>2026-06-05 16:58:39</x:v>
      </x:c>
      <x:c r="O79" s="19" t="str">
        <x:v>2026-06-05 16:58:39</x:v>
      </x:c>
    </x:row>
    <x:row r="80" ht="40.5" customHeight="1">
      <x:c r="A80" s="19" t="n">
        <x:v>79</x:v>
      </x:c>
      <x:c r="B80" s="18" t="str">
        <x:v>c04fd77b-2c6f-46cb-bbfb-df20697d44f6</x:v>
      </x:c>
      <x:c r="C80" s="18" t="str">
        <x:v>10.1002_chin.198734199</x:v>
      </x:c>
      <x:c r="D80" s="18" t="str"/>
      <x:c r="E80" s="19"/>
      <x:c r="F80" s="18" t="str"/>
      <x:c r="G80" s="18" t="str"/>
      <x:c r="H80" s="19" t="str">
        <x:v>NO_CHUNKS</x:v>
      </x:c>
      <x:c r="I80" s="19" t="str">
        <x:v>缺少 chunks</x:v>
      </x:c>
      <x:c r="J80" s="19" t="str"/>
      <x:c r="K80" s="19" t="n">
        <x:v>0</x:v>
      </x:c>
      <x:c r="L80" s="18" t="str">
        <x:v>No chunks available in vector storage or document.jsonl.</x:v>
      </x:c>
      <x:c r="M80" s="18" t="str"/>
      <x:c r="N80" s="19" t="str">
        <x:v>2026-06-05 16:58:39</x:v>
      </x:c>
      <x:c r="O80" s="19" t="str">
        <x:v>2026-06-05 16:58:39</x:v>
      </x:c>
    </x:row>
    <x:row r="81" ht="40.5" customHeight="1">
      <x:c r="A81" s="19" t="n">
        <x:v>80</x:v>
      </x:c>
      <x:c r="B81" s="18" t="str">
        <x:v>7a630b45-7823-40c5-9f49-75f8928971c6</x:v>
      </x:c>
      <x:c r="C81" s="18" t="str">
        <x:v>10.1002_chin.199135147</x:v>
      </x:c>
      <x:c r="D81" s="18" t="str"/>
      <x:c r="E81" s="19"/>
      <x:c r="F81" s="18" t="str"/>
      <x:c r="G81" s="18" t="str"/>
      <x:c r="H81" s="19" t="str">
        <x:v>NO_CHUNKS</x:v>
      </x:c>
      <x:c r="I81" s="19" t="str">
        <x:v>缺少 chunks</x:v>
      </x:c>
      <x:c r="J81" s="19" t="str"/>
      <x:c r="K81" s="19" t="n">
        <x:v>0</x:v>
      </x:c>
      <x:c r="L81" s="18" t="str">
        <x:v>No chunks available in vector storage or document.jsonl.</x:v>
      </x:c>
      <x:c r="M81" s="18" t="str"/>
      <x:c r="N81" s="19" t="str">
        <x:v>2026-06-05 16:58:39</x:v>
      </x:c>
      <x:c r="O81" s="19" t="str">
        <x:v>2026-06-05 16:58:39</x:v>
      </x:c>
    </x:row>
    <x:row r="82" ht="40.5" customHeight="1">
      <x:c r="A82" s="19" t="n">
        <x:v>81</x:v>
      </x:c>
      <x:c r="B82" s="18" t="str">
        <x:v>8092d348-6e85-4d58-bbf9-e53e77e09508</x:v>
      </x:c>
      <x:c r="C82" s="18" t="str">
        <x:v>Acute Toxicity, Bioactivity, and Enantioselective Behavior with Tissue Distribution in Rabbits of Myclobutanil Enantiomers</x:v>
      </x:c>
      <x:c r="D82" s="18" t="str">
        <x:v>Mingjing Sun; Donghui Liu; Xinxu Qiu; Qian Zhou; Zhigang Shen; AND Peng Wang; Zhiqiang Zhou; Department of Applied Chemistry China Agricultural University Beijing P.R. China; Department of Applied Chemistry Agricultural University Yuanmingyuan west road 2 100193 Beijing China P.R. China</x:v>
      </x:c>
      <x:c r="E82" s="19" t="n">
        <x:v>2014</x:v>
      </x:c>
      <x:c r="F82" s="18" t="str">
        <x:v>Acute Toxicity, Bioactivity, and Enantioselective Behavior with Tissue Distribution in Rabbits of Myclobutanil Enantiomers</x:v>
      </x:c>
      <x:c r="G82" s="18" t="str">
        <x:v>10.1002/chir.22353</x:v>
      </x:c>
      <x:c r="H82" s="19" t="str">
        <x:v>FAILED</x:v>
      </x:c>
      <x:c r="I82" s="19" t="str">
        <x:v>处理失败</x:v>
      </x:c>
      <x:c r="J82" s="19" t="str">
        <x:v>是</x:v>
      </x:c>
      <x:c r="K82" s="19" t="n">
        <x:v>21</x:v>
      </x:c>
      <x:c r="L82" s="18" t="str">
        <x:v>Markdown table synthesis failed after 3 attempts: Missing values must use empty cells</x:v>
      </x:c>
      <x:c r="M82" s="18" t="str"/>
      <x:c r="N82" s="19" t="str">
        <x:v>2026-06-05 16:58:39</x:v>
      </x:c>
      <x:c r="O82" s="19" t="str">
        <x:v>2026-06-05 16:59:09</x:v>
      </x:c>
    </x:row>
    <x:row r="83" ht="40.5" customHeight="1">
      <x:c r="A83" s="19" t="n">
        <x:v>82</x:v>
      </x:c>
      <x:c r="B83" s="18" t="str">
        <x:v>ecb3cf4a-c58d-4a56-a01b-d0d0c8b3be2b</x:v>
      </x:c>
      <x:c r="C83" s="18" t="str">
        <x:v>Synthesis and in vitro Fungicidal Activity of a Series of Novel N-(Heterocycly)phthalimides</x:v>
      </x:c>
      <x:c r="D83" s="18" t="str">
        <x:v>Wenbin b (陈文彬 Chen; Xi; Zhen</x:v>
      </x:c>
      <x:c r="E83" s="19"/>
      <x:c r="F83" s="18" t="str">
        <x:v>Synthesis and in vitro Fungicidal Activity of a Series of Novel N-(Heterocycly)phthalimides</x:v>
      </x:c>
      <x:c r="G83" s="18" t="str"/>
      <x:c r="H83" s="19" t="str">
        <x:v>SUMMARIZED</x:v>
      </x:c>
      <x:c r="I83" s="19" t="str">
        <x:v>成功总结</x:v>
      </x:c>
      <x:c r="J83" s="19" t="str">
        <x:v>是</x:v>
      </x:c>
      <x:c r="K83" s="19" t="n">
        <x:v>11</x:v>
      </x:c>
      <x:c r="L83" s="18" t="str">
        <x:v>The paper reports testing of novel N-(heterocycly)phthalimides against Phytophthora capsici, an oomycete, with specific compounds (e.g., III-6 and III-18) showing excellent fungistatic activity.</x:v>
      </x:c>
      <x:c r="M83" s="18" t="str">
        <x:v>D:\Project\ai_coding_platform\demo_01\data\rag-evaluation\efe44f92-8d28-4902-bf77-a15d3bf14ee8\papers\ecb3cf4a-c58d-4a56-a01b-d0d0c8b3be2b.md</x:v>
      </x:c>
      <x:c r="N83" s="19" t="str">
        <x:v>2026-06-05 16:59:09</x:v>
      </x:c>
      <x:c r="O83" s="19" t="str">
        <x:v>2026-06-05 16:59:25</x:v>
      </x:c>
    </x:row>
    <x:row r="84" ht="40.5" customHeight="1">
      <x:c r="A84" s="19" t="n">
        <x:v>83</x:v>
      </x:c>
      <x:c r="B84" s="18" t="str">
        <x:v>3a591e77-5246-4437-b8aa-fc61bec93665</x:v>
      </x:c>
      <x:c r="C84" s="18" t="str">
        <x:v>Synthesis and Antifungal Activities of New Type β-Methoxyacrylate-Based Strobilurin Analogues</x:v>
      </x:c>
      <x:c r="D84" s="18" t="str">
        <x:v>Xiang(张翔 Zhang; Huijun(刘慧君 Liu; Yongxin Gao; Huili(王会利 Wang; Baoyuan Guo; Jianzhong Li</x:v>
      </x:c>
      <x:c r="E84" s="19"/>
      <x:c r="F84" s="18" t="str">
        <x:v>Synthesis and Antifungal Activities of New Type β-Methoxyacrylate-Based Strobilurin Analogues</x:v>
      </x:c>
      <x:c r="G84" s="18" t="str">
        <x:v>10.1002/cjoc.201200101</x:v>
      </x:c>
      <x:c r="H84" s="19" t="str">
        <x:v>SUMMARIZED</x:v>
      </x:c>
      <x:c r="I84" s="19" t="str">
        <x:v>成功总结</x:v>
      </x:c>
      <x:c r="J84" s="19" t="str">
        <x:v>是</x:v>
      </x:c>
      <x:c r="K84" s="19" t="n">
        <x:v>24</x:v>
      </x:c>
      <x:c r="L84" s="18" t="str">
        <x:v>The paper reports experimental testing of synthesized strobilurin analogues against Phytophthora capsici Leonian, an oomycete, including inhibition rates and IC50 values.</x:v>
      </x:c>
      <x:c r="M84" s="18" t="str">
        <x:v>D:\Project\ai_coding_platform\demo_01\data\rag-evaluation\efe44f92-8d28-4902-bf77-a15d3bf14ee8\papers\3a591e77-5246-4437-b8aa-fc61bec93665.md</x:v>
      </x:c>
      <x:c r="N84" s="19" t="str">
        <x:v>2026-06-05 16:59:25</x:v>
      </x:c>
      <x:c r="O84" s="19" t="str">
        <x:v>2026-06-05 16:59:38</x:v>
      </x:c>
    </x:row>
    <x:row r="85" ht="40.5" customHeight="1">
      <x:c r="A85" s="19" t="n">
        <x:v>84</x:v>
      </x:c>
      <x:c r="B85" s="18" t="str">
        <x:v>3b878d2c-d081-4571-8f94-39bca9cf63da</x:v>
      </x:c>
      <x:c r="C85" s="18" t="str">
        <x:v>Synthesis and Fungicidal Activity of (E)-5-[1-(2-Oxo-1-oxaspiro[4,5]dec/non-3-en-3-yl)ethylidene]-2aminoimidazolin-4-one Derivatives</x:v>
      </x:c>
      <x:c r="D85" s="18" t="str">
        <x:v>Bo Tang; Aiying Guan; Yu Zhao; Jiazhen Jiang; Mingan Wang; Ligang Zhou</x:v>
      </x:c>
      <x:c r="E85" s="19"/>
      <x:c r="F85" s="18" t="str">
        <x:v>Synthesis and Fungicidal Activity of (E)-5-[1-(2-Oxo-1-oxaspiro[4,5]dec/non-3-en-3-yl)ethylidene]-2aminoimidazolin-4-one Derivatives</x:v>
      </x:c>
      <x:c r="G85" s="18" t="str">
        <x:v>10.1002/cjoc.201600794</x:v>
      </x:c>
      <x:c r="H85" s="19" t="str">
        <x:v>SUMMARIZED</x:v>
      </x:c>
      <x:c r="I85" s="19" t="str">
        <x:v>成功总结</x:v>
      </x:c>
      <x:c r="J85" s="19" t="str">
        <x:v>是</x:v>
      </x:c>
      <x:c r="K85" s="19" t="n">
        <x:v>18</x:v>
      </x:c>
      <x:c r="L85" s="18" t="str">
        <x:v>The paper reports experimental testing of multiple synthesized compounds against Phytophthora capsici (an oomycete), including inhibition rates and EC50 values, and includes microscopy studies on P. capsici mycelium treated with compound 7h.</x:v>
      </x:c>
      <x:c r="M85" s="18" t="str">
        <x:v>D:\Project\ai_coding_platform\demo_01\data\rag-evaluation\efe44f92-8d28-4902-bf77-a15d3bf14ee8\papers\3b878d2c-d081-4571-8f94-39bca9cf63da.md</x:v>
      </x:c>
      <x:c r="N85" s="19" t="str">
        <x:v>2026-06-05 16:59:38</x:v>
      </x:c>
      <x:c r="O85" s="19" t="str">
        <x:v>2026-06-05 17:00:05</x:v>
      </x:c>
    </x:row>
    <x:row r="86" ht="40.5" customHeight="1">
      <x:c r="A86" s="19" t="n">
        <x:v>85</x:v>
      </x:c>
      <x:c r="B86" s="18" t="str">
        <x:v>e7c102cf-9c7d-4c8c-869e-fbd707ab1988</x:v>
      </x:c>
      <x:c r="C86" s="18" t="str">
        <x:v>Design, Synthesis, and Evaluation of Fungicidal Activity of Novel Pyrazole-Containing Strobilurin Derivatives †</x:v>
      </x:c>
      <x:c r="D86" s="18" t="str">
        <x:v>Zesheng Hao; Weibo Wang; Bin Yu; Xin Qi; You Lv; Xiaoyu Liu; Haoyin Chen; Tatiana A Kalinina; Tatiana V Glukhareva; Zhijin Fan; Chin J Chem; Nankai University</x:v>
      </x:c>
      <x:c r="E86" s="19"/>
      <x:c r="F86" s="18" t="str">
        <x:v>Design, Synthesis, and Evaluation of Fungicidal Activity of Novel Pyrazole-Containing Strobilurin Derivatives †</x:v>
      </x:c>
      <x:c r="G86" s="18" t="str">
        <x:v>10.1002/cjoc.202000685</x:v>
      </x:c>
      <x:c r="H86" s="19" t="str">
        <x:v>SUMMARIZED</x:v>
      </x:c>
      <x:c r="I86" s="19" t="str">
        <x:v>成功总结</x:v>
      </x:c>
      <x:c r="J86" s="19" t="str">
        <x:v>是</x:v>
      </x:c>
      <x:c r="K86" s="19" t="n">
        <x:v>27</x:v>
      </x:c>
      <x:c r="L86" s="18" t="str">
        <x:v>The paper reports experimental evaluation of novel pyrazole-containing strobilurin derivatives against Phytophthora infestans, an oomycete, including inhibition rates and EC50 values (e.g., compound I-7 EC50 = 0.07 μg/mL).</x:v>
      </x:c>
      <x:c r="M86" s="18" t="str">
        <x:v>D:\Project\ai_coding_platform\demo_01\data\rag-evaluation\efe44f92-8d28-4902-bf77-a15d3bf14ee8\papers\e7c102cf-9c7d-4c8c-869e-fbd707ab1988.md</x:v>
      </x:c>
      <x:c r="N86" s="19" t="str">
        <x:v>2026-06-05 17:00:05</x:v>
      </x:c>
      <x:c r="O86" s="19" t="str">
        <x:v>2026-06-05 17:00:47</x:v>
      </x:c>
    </x:row>
    <x:row r="87" ht="40.5" customHeight="1">
      <x:c r="A87" s="19" t="n">
        <x:v>86</x:v>
      </x:c>
      <x:c r="B87" s="18" t="str">
        <x:v>c348ed72-f764-4b61-be8d-82eb104ac176</x:v>
      </x:c>
      <x:c r="C87" s="18" t="str">
        <x:v>Dynamic Rearrangement of F-Actin Organization Triggered by Host-Specific Plant Signal is Linked to Morphogenesis of Aphanomyces cochlioides Zoospores</x:v>
      </x:c>
      <x:c r="D87" s="18" t="str">
        <x:v>Md Tofazzal Islam; Graduate School of Agriculture Hokkaido University Sapporo Japan; Division of Plant Pathology and Plant Protection Georg-August-Universita ¨t Go ¨ttingen Grisebachstraße 6 37077 Goettingen Germany; Promotion of Science (JSPS) Bangladesh Open University Gazipur-1705 Japan Bangladesh</x:v>
      </x:c>
      <x:c r="E87" s="19" t="n">
        <x:v>2008</x:v>
      </x:c>
      <x:c r="F87" s="18" t="str">
        <x:v>Dynamic Rearrangement of F-Actin Organization Triggered by Host-Specific Plant Signal is Linked to Morphogenesis of Aphanomyces cochlioides Zoospores</x:v>
      </x:c>
      <x:c r="G87" s="18" t="str">
        <x:v>10.1002/cm.20281</x:v>
      </x:c>
      <x:c r="H87" s="19" t="str">
        <x:v>SUMMARIZED</x:v>
      </x:c>
      <x:c r="I87" s="19" t="str">
        <x:v>成功总结</x:v>
      </x:c>
      <x:c r="J87" s="19" t="str">
        <x:v>是</x:v>
      </x:c>
      <x:c r="K87" s="19" t="n">
        <x:v>22</x:v>
      </x:c>
      <x:c r="L87" s="18" t="str">
        <x:v>The paper reports experimental testing of cochliophilin A, nicotinamide, and latrunculin B for their effects on morphogenesis and F-actin organization in zoospores of Aphanomyces cochlioides, an oomycete. These compounds are applied to induce or disrupt encystment and germination, with detailed microscopic observations.</x:v>
      </x:c>
      <x:c r="M87" s="18" t="str">
        <x:v>D:\Project\ai_coding_platform\demo_01\data\rag-evaluation\efe44f92-8d28-4902-bf77-a15d3bf14ee8\papers\c348ed72-f764-4b61-be8d-82eb104ac176.md</x:v>
      </x:c>
      <x:c r="N87" s="19" t="str">
        <x:v>2026-06-05 17:00:47</x:v>
      </x:c>
      <x:c r="O87" s="19" t="str">
        <x:v>2026-06-05 17:01:30</x:v>
      </x:c>
    </x:row>
    <x:row r="88" ht="40.5" customHeight="1">
      <x:c r="A88" s="19" t="n">
        <x:v>87</x:v>
      </x:c>
      <x:c r="B88" s="18" t="str">
        <x:v>993a8cbc-2136-494b-8530-0789abc30c59</x:v>
      </x:c>
      <x:c r="C88" s="18" t="str">
        <x:v>Myosin Diversity in the Diatom Phaeodactylum tricornutum</x:v>
      </x:c>
      <x:c r="D88" s="18" t="str">
        <x:v>Ph.D Matthew B Heintzelman; Matthew E Enriquez; Department of Biology Program in Cell Biology and Biochemistry Bucknell University Lewisburg Pennsylvania; Department of Biology Bucknell University 17837 Lewisburg Pennsylvania</x:v>
      </x:c>
      <x:c r="E88" s="19" t="n">
        <x:v>2010</x:v>
      </x:c>
      <x:c r="F88" s="18" t="str">
        <x:v>Myosin Diversity in the Diatom Phaeodactylum tricornutum</x:v>
      </x:c>
      <x:c r="G88" s="18" t="str">
        <x:v>10.1002/cm.20431</x:v>
      </x:c>
      <x:c r="H88" s="19" t="str">
        <x:v>IRRELEVANT</x:v>
      </x:c>
      <x:c r="I88" s="19" t="str">
        <x:v>判定无关</x:v>
      </x:c>
      <x:c r="J88" s="19" t="str">
        <x:v>否</x:v>
      </x:c>
      <x:c r="K88" s="19" t="n">
        <x:v>24</x:v>
      </x:c>
      <x:c r="L88" s="18" t="str">
        <x:v>The paper focuses on myosin diversity in the diatom Phaeodactylum tricornutum and includes Phytophthora ramorum only as a source of comparative myosin sequences in phylogenetic analysis. It does not test or discuss any compound, extract, pesticide, or derivative for activity against oomycetes.</x:v>
      </x:c>
      <x:c r="M88" s="18" t="str"/>
      <x:c r="N88" s="19" t="str">
        <x:v>2026-06-05 17:01:30</x:v>
      </x:c>
      <x:c r="O88" s="19" t="str">
        <x:v>2026-06-05 17:01:32</x:v>
      </x:c>
    </x:row>
    <x:row r="89" ht="40.5" customHeight="1">
      <x:c r="A89" s="19" t="n">
        <x:v>88</x:v>
      </x:c>
      <x:c r="B89" s="18" t="str">
        <x:v>b91b8748-fc3f-4d99-a6a1-f841e34f7c0a</x:v>
      </x:c>
      <x:c r="C89" s="18" t="str">
        <x:v>Efficient Genome Editing in the Oomycete Phytophthora sojae Using CRISPR/Cas9</x:v>
      </x:c>
      <x:c r="D89" s="18" t="str">
        <x:v>Yufeng Fang; Linkai Cui; Biao Gu; Felipe Arredondo; Brett M Tyler</x:v>
      </x:c>
      <x:c r="E89" s="19"/>
      <x:c r="F89" s="18" t="str">
        <x:v>Efficient Genome Editing in the Oomycete Phytophthora sojae Using CRISPR/Cas9</x:v>
      </x:c>
      <x:c r="G89" s="18" t="str">
        <x:v>10.1002/cpmc.25</x:v>
      </x:c>
      <x:c r="H89" s="19" t="str">
        <x:v>IRRELEVANT</x:v>
      </x:c>
      <x:c r="I89" s="19" t="str">
        <x:v>判定无关</x:v>
      </x:c>
      <x:c r="J89" s="19" t="str">
        <x:v>否</x:v>
      </x:c>
      <x:c r="K89" s="19" t="n">
        <x:v>44</x:v>
      </x:c>
      <x:c r="L89" s="18" t="str">
        <x:v>The paper focuses exclusively on CRISPR/Cas9 genome editing methodology in Phytophthora sojae and does not report or discuss any compounds, extracts, pesticides, or derivatives tested for activity against oomycetes.</x:v>
      </x:c>
      <x:c r="M89" s="18" t="str"/>
      <x:c r="N89" s="19" t="str">
        <x:v>2026-06-05 17:01:32</x:v>
      </x:c>
      <x:c r="O89" s="19" t="str">
        <x:v>2026-06-05 17:01:35</x:v>
      </x:c>
    </x:row>
    <x:row r="90" ht="40.5" customHeight="1">
      <x:c r="A90" s="19" t="n">
        <x:v>89</x:v>
      </x:c>
      <x:c r="B90" s="18" t="str">
        <x:v>8a84a2bc-be26-4d3d-b5e3-e1c3793745dd</x:v>
      </x:c>
      <x:c r="C90" s="18" t="str">
        <x:v>DNA Extraction from Plant Leaves Using a Microneedle Patch</x:v>
      </x:c>
      <x:c r="D90" s="18" t="str">
        <x:v>Rajesh Paul; Emily Ostermann; Zhen Gu; Jean B Ristaino; Qingshan Wei</x:v>
      </x:c>
      <x:c r="E90" s="19"/>
      <x:c r="F90" s="18" t="str">
        <x:v>DNA Extraction from Plant Leaves Using a Microneedle Patch</x:v>
      </x:c>
      <x:c r="G90" s="18" t="str">
        <x:v>10.1002/cppb.20104</x:v>
      </x:c>
      <x:c r="H90" s="19" t="str">
        <x:v>IRRELEVANT</x:v>
      </x:c>
      <x:c r="I90" s="19" t="str">
        <x:v>判定无关</x:v>
      </x:c>
      <x:c r="J90" s="19" t="str">
        <x:v>否</x:v>
      </x:c>
      <x:c r="K90" s="19" t="n">
        <x:v>28</x:v>
      </x:c>
      <x:c r="L90" s="18" t="str">
        <x:v>The paper describes a microneedle patch method for extracting DNA from plant leaves infected with Phytophthora infestans but does not test or discuss any compound, extract, pesticide, or derivative for activity against oomycetes. It focuses solely on sample preparation and detection.</x:v>
      </x:c>
      <x:c r="M90" s="18" t="str"/>
      <x:c r="N90" s="19" t="str">
        <x:v>2026-06-05 17:01:35</x:v>
      </x:c>
      <x:c r="O90" s="19" t="str">
        <x:v>2026-06-05 17:01:38</x:v>
      </x:c>
    </x:row>
    <x:row r="91" ht="40.5" customHeight="1">
      <x:c r="A91" s="19" t="n">
        <x:v>90</x:v>
      </x:c>
      <x:c r="B91" s="18" t="str">
        <x:v>5c624107-76e8-4e6c-b545-d5c6e22edff9</x:v>
      </x:c>
      <x:c r="C91" s="18" t="str">
        <x:v>Evaluating online and tangible interfaces for engaging stakeholders in forecasting and control of biological invasions</x:v>
      </x:c>
      <x:c r="D91" s="18" t="str">
        <x:v>Devon A Gaydos; Chris M Jones; Shannon K Jones; Garrett C Millar; Vaclav Petras; Anna Petrasova; Helena Mitasova; Ross K Meentemeyer; Plant Protection and Quarantine (PPQ) 4700 River Road 20737 Riverdale Maryland USA; North Carolina State University 27695 Raleigh North Carolina USA</x:v>
      </x:c>
      <x:c r="E91" s="19"/>
      <x:c r="F91" s="18" t="str">
        <x:v>Evaluating online and tangible interfaces for engaging stakeholders in forecasting and control of biological invasions</x:v>
      </x:c>
      <x:c r="G91" s="18" t="str">
        <x:v>10.1002/eap.2446</x:v>
      </x:c>
      <x:c r="H91" s="19" t="str">
        <x:v>IRRELEVANT</x:v>
      </x:c>
      <x:c r="I91" s="19" t="str">
        <x:v>判定无关</x:v>
      </x:c>
      <x:c r="J91" s="19" t="str">
        <x:v>否</x:v>
      </x:c>
      <x:c r="K91" s="19" t="n">
        <x:v>27</x:v>
      </x:c>
      <x:c r="L91" s="18" t="str">
        <x:v>The paper focuses on user interfaces for stakeholder engagement in forecasting the spread of sudden oak death caused by Phytophthora ramorum, an oomycete, but does not report or discuss any compounds, extracts, pesticides, or derivatives tested for activity against this or any other oomycete.</x:v>
      </x:c>
      <x:c r="M91" s="18" t="str"/>
      <x:c r="N91" s="19" t="str">
        <x:v>2026-06-05 17:01:38</x:v>
      </x:c>
      <x:c r="O91" s="19" t="str">
        <x:v>2026-06-05 17:01:40</x:v>
      </x:c>
    </x:row>
    <x:row r="92" ht="40.5" customHeight="1">
      <x:c r="A92" s="19" t="n">
        <x:v>91</x:v>
      </x:c>
      <x:c r="B92" s="18" t="str">
        <x:v>c12a4b29-c63f-4bc2-ae49-a9eb297b60f5</x:v>
      </x:c>
      <x:c r="C92"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92" s="18" t="str">
        <x:v>He Yi-Qin; Wen-Di Huang; Yang Lei; Yi-Ting Li; Lu Chen; Zhu Yong-Xing; Ma Dong-Fang; Yin Jun-Liang; Ma Dong; College of Agriculture Yangtze University Jingzhou 434025 Hubei P. R. China; College of Agriculture Yangtze University 434025 Jingzhou Hubei P. R. China</x:v>
      </x:c>
      <x:c r="E92" s="19"/>
      <x:c r="F92"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92" s="18" t="str">
        <x:v>10.1002/csc2.20115</x:v>
      </x:c>
      <x:c r="H92" s="19" t="str">
        <x:v>SUMMARIZED</x:v>
      </x:c>
      <x:c r="I92" s="19" t="str">
        <x:v>成功总结</x:v>
      </x:c>
      <x:c r="J92" s="19" t="str">
        <x:v>是</x:v>
      </x:c>
      <x:c r="K92" s="19" t="n">
        <x:v>41</x:v>
      </x:c>
      <x:c r="L92" s="18" t="str">
        <x:v>The paper reports experimental evidence that the wheat protein TaEILb.2, when transiently expressed in Nicotiana benthamiana, significantly inhibits infection by the oomycete Phytophthora infestans, as shown by reduced lesion size compared to controls (Section: TaEIL Inhibited the Infection of Phytophthora infestans; Fig. 9).</x:v>
      </x:c>
      <x:c r="M92" s="18" t="str">
        <x:v>D:\Project\ai_coding_platform\demo_01\data\rag-evaluation\efe44f92-8d28-4902-bf77-a15d3bf14ee8\papers\c12a4b29-c63f-4bc2-ae49-a9eb297b60f5.md</x:v>
      </x:c>
      <x:c r="N92" s="19" t="str">
        <x:v>2026-06-05 17:01:40</x:v>
      </x:c>
      <x:c r="O92" s="19" t="str">
        <x:v>2026-06-05 17:01:50</x:v>
      </x:c>
    </x:row>
    <x:row r="93" ht="40.5" customHeight="1">
      <x:c r="A93" s="19" t="n">
        <x:v>92</x:v>
      </x:c>
      <x:c r="B93" s="18" t="str">
        <x:v>3c670bf0-709a-4c38-8d88-4fa688c99e61</x:v>
      </x:c>
      <x:c r="C93"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93" s="18" t="str">
        <x:v>Olivia J Steinmetz Ab; David E Huset; Douglas I Rouse; John A Raasch; Lucia Gutiérrez; Heathcliffe Riday</x:v>
      </x:c>
      <x:c r="E93" s="19"/>
      <x:c r="F93"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93" s="18" t="str">
        <x:v>10.1002/csc2.20219</x:v>
      </x:c>
      <x:c r="H93" s="19" t="str">
        <x:v>SUMMARIZED</x:v>
      </x:c>
      <x:c r="I93" s="19" t="str">
        <x:v>成功总结</x:v>
      </x:c>
      <x:c r="J93" s="19" t="str">
        <x:v>是</x:v>
      </x:c>
      <x:c r="K93" s="19" t="n">
        <x:v>27</x:v>
      </x:c>
      <x:c r="L93" s="18" t="str">
        <x:v>The paper reports experimental disease screens testing alfalfa populations for resistance to the oomycetes Phytophthora medicaginis and Aphanomyces euteiches, including detailed methods and results on resistance levels in original and selected lines.</x:v>
      </x:c>
      <x:c r="M93" s="18" t="str">
        <x:v>D:\Project\ai_coding_platform\demo_01\data\rag-evaluation\efe44f92-8d28-4902-bf77-a15d3bf14ee8\papers\3c670bf0-709a-4c38-8d88-4fa688c99e61.md</x:v>
      </x:c>
      <x:c r="N93" s="19" t="str">
        <x:v>2026-06-05 17:01:50</x:v>
      </x:c>
      <x:c r="O93" s="19" t="str">
        <x:v>2026-06-05 17:01:57</x:v>
      </x:c>
    </x:row>
    <x:row r="94" ht="40.5" customHeight="1">
      <x:c r="A94" s="19" t="n">
        <x:v>93</x:v>
      </x:c>
      <x:c r="B94" s="18" t="str">
        <x:v>6130f162-b209-4bcb-a9c2-ba7d2a582e90</x:v>
      </x:c>
      <x:c r="C94"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94" s="18" t="str">
        <x:v>Chiti Agarwal; Weidong Chen; Clare Coyne; George Vandemark</x:v>
      </x:c>
      <x:c r="E94" s="19"/>
      <x:c r="F94"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94" s="18" t="str">
        <x:v>10.1002/csc2.20424</x:v>
      </x:c>
      <x:c r="H94" s="19" t="str">
        <x:v>IRRELEVANT</x:v>
      </x:c>
      <x:c r="I94" s="19" t="str">
        <x:v>判定无关</x:v>
      </x:c>
      <x:c r="J94" s="19" t="str">
        <x:v>否</x:v>
      </x:c>
      <x:c r="K94" s="19" t="n">
        <x:v>21</x:v>
      </x:c>
      <x:c r="L94" s="18" t="str">
        <x:v>The paper focuses on identifying chickpea germplasm resistant to Pythium ultimum, an oomycete, but does not test or discuss any chemical compounds, extracts, pesticides, or derivatives for activity against oomycetes. It evaluates host plant resistance, not antimicrobial agents.</x:v>
      </x:c>
      <x:c r="M94" s="18" t="str"/>
      <x:c r="N94" s="19" t="str">
        <x:v>2026-06-05 17:01:57</x:v>
      </x:c>
      <x:c r="O94" s="19" t="str">
        <x:v>2026-06-05 17:02:02</x:v>
      </x:c>
    </x:row>
    <x:row r="95" ht="40.5" customHeight="1">
      <x:c r="A95" s="19" t="n">
        <x:v>94</x:v>
      </x:c>
      <x:c r="B95" s="18" t="str">
        <x:v>568afaa0-2637-49ae-a36b-1638b397a4fb</x:v>
      </x:c>
      <x:c r="C95"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95" s="18" t="str">
        <x:v>Crystal Heim; Justin Ma; Eric Willard; Cameron Shelton; Ramsey S Lewis; Campus Box; Department of Crop and Soil Sciences North Carolina State University Raleigh 27695 NC USA</x:v>
      </x:c>
      <x:c r="E95" s="19"/>
      <x:c r="F95"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95" s="18" t="str">
        <x:v>10.1002/csc2.20520</x:v>
      </x:c>
      <x:c r="H95" s="19" t="str">
        <x:v>IRRELEVANT</x:v>
      </x:c>
      <x:c r="I95" s="19" t="str">
        <x:v>判定无关</x:v>
      </x:c>
      <x:c r="J95" s="19" t="str">
        <x:v>否</x:v>
      </x:c>
      <x:c r="K95" s="19" t="n">
        <x:v>19</x:v>
      </x:c>
      <x:c r="L95" s="18" t="str">
        <x:v>The paper focuses exclusively on host genetic resistance in tobacco against Phytophthora nicotianae and Ralstonia solanacearum, with no discussion or testing of any chemical compounds, extracts, pesticides, or antimicrobial agents against oomycetes.</x:v>
      </x:c>
      <x:c r="M95" s="18" t="str"/>
      <x:c r="N95" s="19" t="str">
        <x:v>2026-06-05 17:02:02</x:v>
      </x:c>
      <x:c r="O95" s="19" t="str">
        <x:v>2026-06-05 17:02:04</x:v>
      </x:c>
    </x:row>
    <x:row r="96" ht="40.5" customHeight="1">
      <x:c r="A96" s="19" t="n">
        <x:v>95</x:v>
      </x:c>
      <x:c r="B96" s="18" t="str">
        <x:v>d94aa1f6-ddf9-4a9b-b619-570de700c4ce</x:v>
      </x:c>
      <x:c r="C96"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96" s="18" t="str">
        <x:v>Mariane Gonçalves; Ferreira Copati¹; Dalprá Françoise; Felipe Dariva¹; Oliveira De; João Dias¹; Amaral Romero; Rocha² ; Santos De Carvalho; Paula Herika; Gabriella Pessoa¹; Pedro Queiroz De Almeida¹; Souza Crescêncio; Carlos Carneiro²; Nick¹; Departamento de Agronomia Centro de Ciências Agrárias Universidade Federal de Viçosa Viçosa Minas Gerais Brasil; Departamento de Biologia Geral Centro de Ciências Biológicas e da Saúde Universidade Federal de Viçosa Viçosa Minas Gerais Brasil</x:v>
      </x:c>
      <x:c r="E96" s="19"/>
      <x:c r="F96"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96" s="18" t="str">
        <x:v>10.1002/csc2.20584</x:v>
      </x:c>
      <x:c r="H96" s="19" t="str">
        <x:v>IRRELEVANT</x:v>
      </x:c>
      <x:c r="I96" s="19" t="str">
        <x:v>判定无关</x:v>
      </x:c>
      <x:c r="J96" s="19" t="str">
        <x:v>否</x:v>
      </x:c>
      <x:c r="K96" s="19" t="n">
        <x:v>30</x:v>
      </x:c>
      <x:c r="L96" s="18" t="str">
        <x:v>The paper focuses on statistical modeling and experimental design for evaluating tomato resistance to Phytophthora infestans, but does not test or discuss any compounds, extracts, pesticides, or derivatives for anti-oomycete activity.</x:v>
      </x:c>
      <x:c r="M96" s="18" t="str"/>
      <x:c r="N96" s="19" t="str">
        <x:v>2026-06-05 17:02:04</x:v>
      </x:c>
      <x:c r="O96" s="19" t="str">
        <x:v>2026-06-05 17:02:07</x:v>
      </x:c>
    </x:row>
    <x:row r="97" ht="40.5" customHeight="1">
      <x:c r="A97" s="19" t="n">
        <x:v>96</x:v>
      </x:c>
      <x:c r="B97" s="18" t="str">
        <x:v>e3afd231-1389-4cc5-ad36-9b30a5539a30</x:v>
      </x:c>
      <x:c r="C97" s="18" t="str">
        <x:v>Identification of Resistance Loci Towards Phytophthora sojae (Rps) in South Korean Soybean Plant Introductions 407974B and 424487B</x:v>
      </x:c>
      <x:c r="D97" s="18" t="str">
        <x:v>Carlos Bolaños-Carriel; Amine Batnini; Leah K Mchale; Anne E Dorrance; Dep. of Plant Pathology Center for Applied Plant Sciences Center for Soybean Research Dep. of Horticulture and Crop Science Center for Applied Plant Sciences Center for Soybean Research The Ohio State Univ The Ohio State Univ 2021 Coffey Rd. Columbus 43210 OH USA; Charles Darwin Research Station Av. Charles Darwin s/n Galapagos Islands Charles Darwin Foundation Puerto Ayora Santa Cruz Ecuador; Centro de Edafología y Biología Aplicada Corteva Agriscience Segura -Consejo Superior de Investigaciones Científicas Espinardo Murcia Spain;</x:v>
      </x:c>
      <x:c r="E97" s="19"/>
      <x:c r="F97" s="18" t="str">
        <x:v>Identification of Resistance Loci Towards Phytophthora sojae (Rps) in South Korean Soybean Plant Introductions 407974B and 424487B</x:v>
      </x:c>
      <x:c r="G97" s="18" t="str">
        <x:v>10.1002/csc2.20596</x:v>
      </x:c>
      <x:c r="H97" s="19" t="str">
        <x:v>IRRELEVANT</x:v>
      </x:c>
      <x:c r="I97" s="19" t="str">
        <x:v>判定无关</x:v>
      </x:c>
      <x:c r="J97" s="19" t="str">
        <x:v>否</x:v>
      </x:c>
      <x:c r="K97" s="19" t="n">
        <x:v>23</x:v>
      </x:c>
      <x:c r="L97" s="18" t="str">
        <x:v>The paper focuses exclusively on identifying and mapping host resistance loci (Rps genes) in soybean against Phytophthora sojae and does not report or discuss any compounds, extracts, pesticides, or chemical treatments tested for activity against oomycetes.</x:v>
      </x:c>
      <x:c r="M97" s="18" t="str"/>
      <x:c r="N97" s="19" t="str">
        <x:v>2026-06-05 17:02:07</x:v>
      </x:c>
      <x:c r="O97" s="19" t="str">
        <x:v>2026-06-05 17:02:10</x:v>
      </x:c>
    </x:row>
    <x:row r="98" ht="40.5" customHeight="1">
      <x:c r="A98" s="19" t="n">
        <x:v>97</x:v>
      </x:c>
      <x:c r="B98" s="18" t="str">
        <x:v>e906666c-2d98-41e1-bb9f-b5fbe9d23600</x:v>
      </x:c>
      <x:c r="C98"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D98" s="18" t="str">
        <x:v>Jingyu Long; Mao Yang; Cailian Zuo; Na Song; Jun-Min He; Jianmin Zeng; Jinsong Wu</x:v>
      </x:c>
      <x:c r="E98" s="19"/>
      <x:c r="F98" s="18" t="str">
        <x:v>This article has been accepted for publication and undergone full peer review but has not been through the copyediting, typesetting, pagination and proofreading process, which may lead to differences between this version and the Version of Record. Please cite this article as</x:v>
      </x:c>
      <x:c r="G98" s="18" t="str">
        <x:v>10.1002/csc2.20625</x:v>
      </x:c>
      <x:c r="H98" s="19" t="str">
        <x:v>IRRELEVANT</x:v>
      </x:c>
      <x:c r="I98" s="19" t="str">
        <x:v>判定无关</x:v>
      </x:c>
      <x:c r="J98" s="19" t="str">
        <x:v>否</x:v>
      </x:c>
      <x:c r="K98" s="19" t="n">
        <x:v>31</x:v>
      </x:c>
      <x:c r="L98" s="18" t="str">
        <x:v>The paper investigates plant defense mechanisms, specifically jasmonate signaling and phytoalexin production, in response to the oomycete Phytophthora nicotianae, but does not test or discuss any exogenous compound, extract, pesticide, or chemical agent for activity against oomycetes. All experiments focus on endogenous plant responses and genetic silencing, not on evaluating antimicrobial compounds.</x:v>
      </x:c>
      <x:c r="M98" s="18" t="str"/>
      <x:c r="N98" s="19" t="str">
        <x:v>2026-06-05 17:02:10</x:v>
      </x:c>
      <x:c r="O98" s="19" t="str">
        <x:v>2026-06-05 17:02:14</x:v>
      </x:c>
    </x:row>
    <x:row r="99" ht="40.5" customHeight="1">
      <x:c r="A99" s="19" t="n">
        <x:v>98</x:v>
      </x:c>
      <x:c r="B99" s="18" t="str">
        <x:v>b1212991-5c6f-4bcc-b3e8-bb27cdb68f23</x:v>
      </x:c>
      <x:c r="C99" s="18" t="str">
        <x:v>Heterokaryotic Nuclear Conditions and a Heterogeneous Nuclear Population are Observed by Flow Cytometry in Phytophthora infestans</x:v>
      </x:c>
      <x:c r="D99" s="18" t="str">
        <x:v>Mursel Catal; Louis King; Pavani Tumbalam; Prissana Wiriyajitsomboon; William W Kirk; Gerard C Adams; Department of Plant Pathology Michigan State University 107 Center for Integrated Plant Systems Building, East Lansing 48824-1311 MI USA</x:v>
      </x:c>
      <x:c r="E99" s="19" t="n">
        <x:v>2010</x:v>
      </x:c>
      <x:c r="F99" s="18" t="str">
        <x:v>Heterokaryotic Nuclear Conditions and a Heterogeneous Nuclear Population are Observed by Flow Cytometry in Phytophthora infestans</x:v>
      </x:c>
      <x:c r="G99" s="18" t="str">
        <x:v>10.1002/cyto.a.20888</x:v>
      </x:c>
      <x:c r="H99" s="19" t="str">
        <x:v>IRRELEVANT</x:v>
      </x:c>
      <x:c r="I99" s="19" t="str">
        <x:v>判定无关</x:v>
      </x:c>
      <x:c r="J99" s="19" t="str">
        <x:v>否</x:v>
      </x:c>
      <x:c r="K99" s="19" t="n">
        <x:v>17</x:v>
      </x:c>
      <x:c r="L99" s="18" t="str">
        <x:v>The paper focuses on nuclear ploidy, heterokaryosis, and cell cycle analysis in Phytophthora infestans using flow cytometry. It does not report or discuss any compound, extract, pesticide, or derivative tested for activity against oomycetes.</x:v>
      </x:c>
      <x:c r="M99" s="18" t="str"/>
      <x:c r="N99" s="19" t="str">
        <x:v>2026-06-05 17:02:14</x:v>
      </x:c>
      <x:c r="O99" s="19" t="str">
        <x:v>2026-06-05 17:02:16</x:v>
      </x:c>
    </x:row>
    <x:row r="100" ht="40.5" customHeight="1">
      <x:c r="A100" s="19" t="n">
        <x:v>99</x:v>
      </x:c>
      <x:c r="B100" s="18" t="str">
        <x:v>62a91cf1-9ec6-4ee5-a68c-e6c37fdb7455</x:v>
      </x:c>
      <x:c r="C100" s="18" t="str">
        <x:v>Auxin (2,4-Dichlorophenoxyacetic Acid) Starvation and Treatment With Glucan Elicitor Isolated From Phytophfhora megasperma Induces Similar Responses in Soybean-Cultured Cell Suspensions</x:v>
      </x:c>
      <x:c r="D100" s="18" t="str">
        <x:v>J J Leguay; J P Jouanneau; Gif Sur</x:v>
      </x:c>
      <x:c r="E100" s="19"/>
      <x:c r="F100" s="18" t="str">
        <x:v>Auxin (2,4-Dichlorophenoxyacetic Acid) Starvation and Treatment With Glucan Elicitor Isolated From Phytophfhora megasperma Induces Similar Responses in Soybean-Cultured Cell Suspensions</x:v>
      </x:c>
      <x:c r="G100" s="18" t="str"/>
      <x:c r="H100" s="19" t="str">
        <x:v>IRRELEVANT</x:v>
      </x:c>
      <x:c r="I100" s="19" t="str">
        <x:v>判定无关</x:v>
      </x:c>
      <x:c r="J100" s="19" t="str">
        <x:v>否</x:v>
      </x:c>
      <x:c r="K100" s="19" t="n">
        <x:v>22</x:v>
      </x:c>
      <x:c r="L100" s="18" t="str">
        <x:v>The paper studies plant defense responses (e.g., glyceollin accumulation, PR proteins) induced by a glucan elicitor from Phytophthora megasperma, but does not test any compound for direct activity against oomycetes. It focuses on host responses, not anti-oomycete agents.</x:v>
      </x:c>
      <x:c r="M100" s="18" t="str"/>
      <x:c r="N100" s="19" t="str">
        <x:v>2026-06-05 17:02:16</x:v>
      </x:c>
      <x:c r="O100" s="19" t="str">
        <x:v>2026-06-05 17:02:18</x:v>
      </x:c>
    </x:row>
    <x:row r="101" ht="40.5" customHeight="1">
      <x:c r="A101" s="19" t="n">
        <x:v>100</x:v>
      </x:c>
      <x:c r="B101" s="18" t="str">
        <x:v>5369320b-9687-4e26-b9f3-fd3bd551771d</x:v>
      </x:c>
      <x:c r="C101" s="18" t="str">
        <x:v>Regulation of Two Different hsp70 Transcript Populations in Steroid Hormone-Induced Fungal Development</x:v>
      </x:c>
      <x:c r="D101" s="18" t="str">
        <x:v>Dr Julie C Silver; Shelley A Brunt; Garyfallia Kyriakopoulou; AND Monica Borkar</x:v>
      </x:c>
      <x:c r="E101" s="19"/>
      <x:c r="F101" s="18" t="str">
        <x:v>Regulation of Two Different hsp70 Transcript Populations in Steroid Hormone-Induced Fungal Development</x:v>
      </x:c>
      <x:c r="G101" s="18" t="str"/>
      <x:c r="H101" s="19" t="str">
        <x:v>IRRELEVANT</x:v>
      </x:c>
      <x:c r="I101" s="19" t="str">
        <x:v>判定无关</x:v>
      </x:c>
      <x:c r="J101" s="19" t="str">
        <x:v>否</x:v>
      </x:c>
      <x:c r="K101" s="19" t="n">
        <x:v>22</x:v>
      </x:c>
      <x:c r="L101" s="18" t="str">
        <x:v>The paper studies gene expression and developmental regulation in the oomycete Achlya ambisexualis, but does not test or discuss any compounds for activity against oomycetes.</x:v>
      </x:c>
      <x:c r="M101" s="18" t="str"/>
      <x:c r="N101" s="19" t="str">
        <x:v>2026-06-05 17:02:18</x:v>
      </x:c>
      <x:c r="O101" s="19" t="str">
        <x:v>2026-06-05 17:02:20</x:v>
      </x:c>
    </x:row>
  </x:sheetData>
  <x:conditionalFormatting sqref="I2:I101">
    <x:cfRule type="containsText" dxfId="0" priority="1" operator="containsText" text="成功总结"/>
    <x:cfRule type="containsText" dxfId="1" priority="2" operator="containsText" text="判定无关"/>
    <x:cfRule type="containsText" dxfId="2" priority="3" operator="containsText" text="缺少 chunks"/>
    <x:cfRule type="containsText" dxfId="3" priority="4" operator="containsText" text="处理失败"/>
  </x:conditionalFormatting>
  <x:pageMargins left="0.7" right="0.7" top="0.75" bottom="0.75" header="0.3" footer="0.3"/>
  <x:tableParts count="1">
    <x:tablePart xmlns:r="http://schemas.openxmlformats.org/officeDocument/2006/relationships" r:id="R75297d8d27ab440f"/>
  </x:tableParts>
</x:worksheet>
</file>